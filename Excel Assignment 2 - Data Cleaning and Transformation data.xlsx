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Desktop\DA ASSIGNMENT\EXCEL ASSIGNMENT-2\"/>
    </mc:Choice>
  </mc:AlternateContent>
  <xr:revisionPtr revIDLastSave="0" documentId="13_ncr:1_{D458628B-7403-437A-BD6B-7017F67EB007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Dataset" sheetId="5" r:id="rId1"/>
    <sheet name="Tasks" sheetId="2" r:id="rId2"/>
    <sheet name="Assignment" sheetId="3" r:id="rId3"/>
  </sheets>
  <definedNames>
    <definedName name="ExternalData_1" localSheetId="2" hidden="1">Assignment!$J$3:$O$37</definedName>
    <definedName name="ExternalData_2" localSheetId="2" hidden="1">Assignment!#REF!</definedName>
    <definedName name="ExternalData_3" localSheetId="2" hidden="1">Assignment!$R$3:$W$34</definedName>
    <definedName name="ExternalData_4" localSheetId="2" hidden="1">Assignment!#REF!</definedName>
    <definedName name="ExternalData_5" localSheetId="2" hidden="1">Assignment!#REF!</definedName>
    <definedName name="ExternalData_6" localSheetId="2" hidden="1">Assignment!$AB$3:$AB$34</definedName>
    <definedName name="ExternalData_7" localSheetId="2" hidden="1">Assignment!$AE$3:$AF$34</definedName>
    <definedName name="ExternalData_8" localSheetId="2" hidden="1">Assignment!$AJ$3:$AJ$34</definedName>
    <definedName name="ExternalData_9" localSheetId="2" hidden="1">Assignment!$AN$3:$AS$34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H26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7" i="3"/>
  <c r="H28" i="3"/>
  <c r="H29" i="3"/>
  <c r="H30" i="3"/>
  <c r="H31" i="3"/>
  <c r="H32" i="3"/>
  <c r="H33" i="3"/>
  <c r="H35" i="3"/>
  <c r="H36" i="3"/>
  <c r="H37" i="3"/>
  <c r="AG4" i="3" l="1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FA5EA3-98D7-46A1-8F3A-737354420623}" keepAlive="1" name="Query - DB__1" description="Connection to the 'DB__1' query in the workbook." type="5" refreshedVersion="6" background="1">
    <dbPr connection="Provider=Microsoft.Mashup.OleDb.1;Data Source=$Workbook$;Location=DB__1;Extended Properties=&quot;&quot;" command="SELECT * FROM [DB__1]"/>
  </connection>
  <connection id="2" xr16:uid="{291192B1-E3C9-4D97-A344-4DB082C97E28}" keepAlive="1" name="Query - DB__1 (2)" description="Connection to the 'DB__1 (2)' query in the workbook." type="5" refreshedVersion="6" background="1">
    <dbPr connection="Provider=Microsoft.Mashup.OleDb.1;Data Source=$Workbook$;Location=DB__1 (2);Extended Properties=&quot;&quot;" command="SELECT * FROM [DB__1 (2)]"/>
  </connection>
  <connection id="3" xr16:uid="{0D857E69-7BD5-451C-A87D-08193A05EE32}" keepAlive="1" name="Query - DB__3" description="Connection to the 'DB__3' query in the workbook." type="5" refreshedVersion="6" background="1" saveData="1">
    <dbPr connection="Provider=Microsoft.Mashup.OleDb.1;Data Source=$Workbook$;Location=DB__3;Extended Properties=&quot;&quot;" command="SELECT * FROM [DB__3]"/>
  </connection>
  <connection id="4" xr16:uid="{C5F938DD-1318-407D-9BD3-40FA23F63EC2}" keepAlive="1" name="Query - DB__3 (2)" description="Connection to the 'DB__3 (2)' query in the workbook." type="5" refreshedVersion="6" background="1" saveData="1">
    <dbPr connection="Provider=Microsoft.Mashup.OleDb.1;Data Source=$Workbook$;Location=DB__3 (2);Extended Properties=&quot;&quot;" command="SELECT * FROM [DB__3 (2)]"/>
  </connection>
  <connection id="5" xr16:uid="{008F309C-D7F4-4E08-A98C-3C44556726BA}" keepAlive="1" name="Query - DB__3 (3)" description="Connection to the 'DB__3 (3)' query in the workbook." type="5" refreshedVersion="6" background="1">
    <dbPr connection="Provider=Microsoft.Mashup.OleDb.1;Data Source=$Workbook$;Location=DB__3 (3);Extended Properties=&quot;&quot;" command="SELECT * FROM [DB__3 (3)]"/>
  </connection>
  <connection id="6" xr16:uid="{09585805-DF90-4E08-9144-DB4B40FBE54A}" keepAlive="1" name="Query - DB__3 (4)" description="Connection to the 'DB__3 (4)' query in the workbook." type="5" refreshedVersion="6" background="1" saveData="1">
    <dbPr connection="Provider=Microsoft.Mashup.OleDb.1;Data Source=$Workbook$;Location=&quot;DB__3 (4)&quot;;Extended Properties=&quot;&quot;" command="SELECT * FROM [DB__3 (4)]"/>
  </connection>
  <connection id="7" xr16:uid="{42341E0A-323F-422C-A9CB-DCBC6B010416}" keepAlive="1" name="Query - DB__3 (5)" description="Connection to the 'DB__3 (5)' query in the workbook." type="5" refreshedVersion="6" background="1" saveData="1">
    <dbPr connection="Provider=Microsoft.Mashup.OleDb.1;Data Source=$Workbook$;Location=&quot;DB__3 (5)&quot;;Extended Properties=&quot;&quot;" command="SELECT * FROM [DB__3 (5)]"/>
  </connection>
  <connection id="8" xr16:uid="{401FE9D3-B383-4B0B-9CEE-6E415E46E15C}" keepAlive="1" name="Query - DB__3 (6)" description="Connection to the 'DB__3 (6)' query in the workbook." type="5" refreshedVersion="6" background="1" saveData="1">
    <dbPr connection="Provider=Microsoft.Mashup.OleDb.1;Data Source=$Workbook$;Location=&quot;DB__3 (6)&quot;;Extended Properties=&quot;&quot;" command="SELECT * FROM [DB__3 (6)]"/>
  </connection>
  <connection id="9" xr16:uid="{5D2D88A3-FD98-45EB-80B0-B89EA55182DE}" keepAlive="1" name="Query - DB__3 (7)" description="Connection to the 'DB__3 (7)' query in the workbook." type="5" refreshedVersion="6" background="1" saveData="1">
    <dbPr connection="Provider=Microsoft.Mashup.OleDb.1;Data Source=$Workbook$;Location=&quot;DB__3 (7)&quot;;Extended Properties=&quot;&quot;" command="SELECT * FROM [DB__3 (7)]"/>
  </connection>
  <connection id="10" xr16:uid="{025CE760-070E-4CE9-B341-D7192ECA6D7E}" keepAlive="1" name="Query - DB__3 (8)" description="Connection to the 'DB__3 (8)' query in the workbook." type="5" refreshedVersion="6" background="1" saveData="1">
    <dbPr connection="Provider=Microsoft.Mashup.OleDb.1;Data Source=$Workbook$;Location=&quot;DB__3 (8)&quot;;Extended Properties=&quot;&quot;" command="SELECT * FROM [DB__3 (8)]"/>
  </connection>
  <connection id="11" xr16:uid="{EADB8EC7-023F-4138-A73E-1BDAE78E9662}" keepAlive="1" name="Query - DB__3 (9)" description="Connection to the 'DB__3 (9)' query in the workbook." type="5" refreshedVersion="6" background="1" saveData="1">
    <dbPr connection="Provider=Microsoft.Mashup.OleDb.1;Data Source=$Workbook$;Location=&quot;DB__3 (9)&quot;;Extended Properties=&quot;&quot;" command="SELECT * FROM [DB__3 (9)]"/>
  </connection>
  <connection id="12" xr16:uid="{9727736D-3E09-4D8A-9E52-56FD2FBFEC3C}" keepAlive="1" name="Query - PRODUCT_DB" description="Connection to the 'PRODUCT_DB' query in the workbook." type="5" refreshedVersion="6" background="1">
    <dbPr connection="Provider=Microsoft.Mashup.OleDb.1;Data Source=$Workbook$;Location=PRODUCT_DB;Extended Properties=&quot;&quot;" command="SELECT * FROM [PRODUCT_DB]"/>
  </connection>
  <connection id="13" xr16:uid="{D487236A-0A97-4041-B072-C76944948F72}" keepAlive="1" name="Query - PRODUCT_DB (2)" description="Connection to the 'PRODUCT_DB (2)' query in the workbook." type="5" refreshedVersion="6" background="1" saveData="1">
    <dbPr connection="Provider=Microsoft.Mashup.OleDb.1;Data Source=$Workbook$;Location=PRODUCT_DB (2);Extended Properties=&quot;&quot;" command="SELECT * FROM [PRODUCT_DB (2)]"/>
  </connection>
  <connection id="14" xr16:uid="{D9C77532-A71E-4AC6-AD69-0EFEFB4EB032}" keepAlive="1" name="Query - PRODUCT_DB (3)" description="Connection to the 'PRODUCT_DB (3)' query in the workbook." type="5" refreshedVersion="6" background="1" saveData="1">
    <dbPr connection="Provider=Microsoft.Mashup.OleDb.1;Data Source=$Workbook$;Location=&quot;PRODUCT_DB (3)&quot;;Extended Properties=&quot;&quot;" command="SELECT * FROM [PRODUCT_DB (3)]"/>
  </connection>
  <connection id="15" xr16:uid="{EA435383-84DF-457F-8B60-BC8C78C68EB4}" keepAlive="1" name="Query - PRODUCT_DB (4)" description="Connection to the 'PRODUCT_DB (4)' query in the workbook." type="5" refreshedVersion="6" background="1">
    <dbPr connection="Provider=Microsoft.Mashup.OleDb.1;Data Source=$Workbook$;Location=PRODUCT_DB (4);Extended Properties=&quot;&quot;" command="SELECT * FROM [PRODUCT_DB (4)]"/>
  </connection>
  <connection id="16" xr16:uid="{E399F658-0E82-48FD-8117-B16C9B2F71F0}" keepAlive="1" name="Query - PRODUCT_DB5" description="Connection to the 'PRODUCT_DB5' query in the workbook." type="5" refreshedVersion="6" background="1">
    <dbPr connection="Provider=Microsoft.Mashup.OleDb.1;Data Source=$Workbook$;Location=PRODUCT_DB5;Extended Properties=&quot;&quot;" command="SELECT * FROM [PRODUCT_DB5]"/>
  </connection>
</connections>
</file>

<file path=xl/sharedStrings.xml><?xml version="1.0" encoding="utf-8"?>
<sst xmlns="http://schemas.openxmlformats.org/spreadsheetml/2006/main" count="839" uniqueCount="142">
  <si>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</si>
  <si>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</si>
  <si>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</si>
  <si>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</si>
  <si>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</si>
  <si>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</si>
  <si>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</si>
  <si>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</si>
  <si>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</si>
  <si>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</si>
  <si>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</si>
  <si>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</si>
  <si>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</si>
  <si>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</si>
  <si>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</si>
  <si>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</si>
  <si>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</si>
  <si>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</si>
  <si>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</si>
  <si>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</si>
  <si>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</si>
  <si>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</si>
  <si>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</si>
  <si>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</si>
  <si>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</si>
  <si>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</si>
  <si>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</si>
  <si>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</si>
  <si>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</si>
  <si>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</si>
  <si>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</si>
  <si>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</si>
  <si>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</si>
  <si>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</si>
  <si>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</si>
  <si>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</si>
  <si>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</si>
  <si>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</si>
  <si>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</si>
  <si>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</si>
  <si>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</si>
  <si>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</si>
  <si>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</si>
  <si>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</si>
  <si>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</si>
  <si>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</si>
  <si>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</si>
  <si>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</si>
  <si>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</si>
  <si>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</si>
  <si>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</si>
  <si>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</si>
  <si>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</si>
  <si>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</si>
  <si>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</si>
  <si>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</si>
  <si>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</si>
  <si>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</si>
  <si>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</si>
  <si>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</si>
  <si>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</si>
  <si>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</si>
  <si>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</si>
  <si>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</si>
  <si>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</si>
  <si>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</si>
  <si>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</si>
  <si>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</si>
  <si>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</si>
  <si>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</si>
  <si>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</si>
  <si>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</si>
  <si>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</si>
  <si>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</si>
  <si>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</si>
  <si>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</si>
  <si>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</si>
  <si>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</si>
  <si>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</si>
  <si>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</si>
  <si>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</si>
  <si>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</si>
  <si>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</si>
  <si>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</si>
  <si>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</si>
  <si>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</si>
  <si>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</si>
  <si>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</si>
  <si>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</si>
  <si>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</si>
  <si>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</si>
  <si>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</si>
  <si>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</si>
  <si>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</si>
  <si>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</si>
  <si>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</si>
  <si>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1. Handling Missing Values:  </t>
  </si>
  <si>
    <r>
      <t xml:space="preserve">● </t>
    </r>
    <r>
      <rPr>
        <sz val="12"/>
        <color rgb="FF000000"/>
        <rFont val="Calibri"/>
        <family val="2"/>
      </rPr>
      <t xml:space="preserve">Check for missing values in the 'Price' column. How would you handle products with missing price information?  </t>
    </r>
  </si>
  <si>
    <r>
      <t xml:space="preserve">● </t>
    </r>
    <r>
      <rPr>
        <sz val="12"/>
        <color rgb="FF000000"/>
        <rFont val="Calibri"/>
        <family val="2"/>
      </rPr>
      <t xml:space="preserve">If there are products with missing categories, propose a strategy to impute or deal with these missing values effectively.  </t>
    </r>
  </si>
  <si>
    <t xml:space="preserve"> </t>
  </si>
  <si>
    <t xml:space="preserve">2. Correcting Inconsistent Data:  </t>
  </si>
  <si>
    <r>
      <t xml:space="preserve">● </t>
    </r>
    <r>
      <rPr>
        <sz val="12"/>
        <color rgb="FF000000"/>
        <rFont val="Calibri"/>
        <family val="2"/>
      </rPr>
      <t xml:space="preserve">Identify any duplicate rows within the dataset based on the entirety of each row, and remove them if any.  </t>
    </r>
  </si>
  <si>
    <t xml:space="preserve">4. Splitting and Merging Data: </t>
  </si>
  <si>
    <r>
      <t xml:space="preserve">● </t>
    </r>
    <r>
      <rPr>
        <sz val="12"/>
        <color rgb="FF000000"/>
        <rFont val="Calibri"/>
        <family val="2"/>
      </rPr>
      <t xml:space="preserve">Merge the "Brand Name" and "Product Name" columns into one column named "Product Brand".  </t>
    </r>
  </si>
  <si>
    <t xml:space="preserve">5. Number Formatting: </t>
  </si>
  <si>
    <r>
      <t xml:space="preserve">● </t>
    </r>
    <r>
      <rPr>
        <sz val="12"/>
        <color rgb="FF000000"/>
        <rFont val="Calibri"/>
        <family val="2"/>
      </rPr>
      <t xml:space="preserve">Format the data type of the "Price" column to a currency format.  </t>
    </r>
  </si>
  <si>
    <r>
      <t xml:space="preserve">● </t>
    </r>
    <r>
      <rPr>
        <sz val="12"/>
        <color rgb="FF000000"/>
        <rFont val="Calibri"/>
        <family val="2"/>
      </rPr>
      <t xml:space="preserve">Format the "Manufacturing Date" column to display dates in the "DD-MM-YYYY " format.  </t>
    </r>
  </si>
  <si>
    <t xml:space="preserve">6. Conditional Formatting:  </t>
  </si>
  <si>
    <r>
      <t xml:space="preserve">● </t>
    </r>
    <r>
      <rPr>
        <sz val="12"/>
        <color rgb="FF000000"/>
        <rFont val="Calibri"/>
        <family val="2"/>
      </rPr>
      <t xml:space="preserve">Identify any inconsistent text formats present in the "Product Name" column.  
</t>
    </r>
    <r>
      <rPr>
        <sz val="12"/>
        <color rgb="FF000000"/>
        <rFont val="Arial"/>
        <family val="2"/>
        <scheme val="minor"/>
      </rPr>
      <t xml:space="preserve">● </t>
    </r>
    <r>
      <rPr>
        <sz val="12"/>
        <color rgb="FF000000"/>
        <rFont val="Calibri"/>
        <family val="2"/>
      </rPr>
      <t xml:space="preserve">Identify any typos present in the "Category" column.  </t>
    </r>
  </si>
  <si>
    <r>
      <t xml:space="preserve">● </t>
    </r>
    <r>
      <rPr>
        <sz val="12"/>
        <color rgb="FF000000"/>
        <rFont val="Calibri"/>
        <family val="2"/>
      </rPr>
      <t xml:space="preserve">Use the find and replace function to standardize the text formats in the "Product Name" column and
 fix any typos or misspellings in the "Category" column. </t>
    </r>
  </si>
  <si>
    <t xml:space="preserve"> 3. Removing Duplicates:  </t>
  </si>
  <si>
    <r>
      <t xml:space="preserve">● </t>
    </r>
    <r>
      <rPr>
        <sz val="12"/>
        <color rgb="FF000000"/>
        <rFont val="Calibri"/>
        <family val="2"/>
      </rPr>
      <t xml:space="preserve">Split the "Product ID" column into two separate columns for " Manufacturing Date" and "Country Code". 
Remove unnecessary characters, if any.  </t>
    </r>
  </si>
  <si>
    <r>
      <t xml:space="preserve">● </t>
    </r>
    <r>
      <rPr>
        <sz val="12"/>
        <color rgb="FF000000"/>
        <rFont val="Calibri"/>
        <family val="2"/>
      </rPr>
      <t xml:space="preserve">Apply data bar or color scales conditional formatting in the "Price" column. 
 </t>
    </r>
    <r>
      <rPr>
        <sz val="12"/>
        <color rgb="FF000000"/>
        <rFont val="Arial"/>
        <family val="2"/>
        <scheme val="minor"/>
      </rPr>
      <t xml:space="preserve">● </t>
    </r>
    <r>
      <rPr>
        <sz val="12"/>
        <color rgb="FF000000"/>
        <rFont val="Calibri"/>
        <family val="2"/>
      </rPr>
      <t xml:space="preserve">Create a custom rule for conditional formatting in the "Category" column to highlight cells where the category is "Electronics." </t>
    </r>
  </si>
  <si>
    <t>Handling Missing Values</t>
  </si>
  <si>
    <t>Clean Price ($)</t>
  </si>
  <si>
    <t>Clean Category</t>
  </si>
  <si>
    <t>Unknown</t>
  </si>
  <si>
    <t xml:space="preserve">Correcting Inconsistent Data </t>
  </si>
  <si>
    <t>Removing Duplicates</t>
  </si>
  <si>
    <t>Country Code</t>
  </si>
  <si>
    <t>Merging Data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</si>
  <si>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</si>
  <si>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</si>
  <si>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</si>
  <si>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</si>
  <si>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</si>
  <si>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</si>
  <si>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</si>
  <si>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</si>
  <si>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</si>
  <si>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</si>
  <si>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</si>
  <si>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</si>
  <si>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</si>
  <si>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 xml:space="preserve"> Manufacturing Date</t>
  </si>
  <si>
    <t xml:space="preserve"> Splitting Data</t>
  </si>
  <si>
    <t>Number Formatting</t>
  </si>
  <si>
    <t>Conditional Formatting</t>
  </si>
  <si>
    <t xml:space="preserve">Data Analytics (DA)  
Module -1 - Excel 
Excel Assignment 2 – Data Exploration </t>
  </si>
  <si>
    <t>Tasks:</t>
  </si>
  <si>
    <t>Clean Category2</t>
  </si>
  <si>
    <t>Electroni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</si>
</sst>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6" x14ac:knownFonts="1">
    <font>
      <sz val="10"/>
      <color rgb="FF000000"/>
      <name val="Arial"/>
      <scheme val="minor"/>
    </font>
    <font>
      <b/>
      <sz val="17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0"/>
      <color rgb="FF000000"/>
      <name val="Calibri"/>
      <family val="2"/>
    </font>
    <font>
      <b/>
      <sz val="1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E0F7FA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8"/>
    </xf>
    <xf numFmtId="0" fontId="4" fillId="0" borderId="0" xfId="0" applyFont="1" applyAlignment="1">
      <alignment horizontal="left" vertical="center" indent="15"/>
    </xf>
    <xf numFmtId="0" fontId="3" fillId="0" borderId="0" xfId="0" applyFont="1" applyAlignment="1">
      <alignment horizontal="left" vertical="center" wrapText="1" indent="8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6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6" borderId="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0" fillId="0" borderId="0" xfId="0"/>
    <xf numFmtId="0" fontId="12" fillId="0" borderId="0" xfId="0" applyFont="1"/>
    <xf numFmtId="0" fontId="12" fillId="3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052DA21-F27E-42C9-8E08-26D31980A5BD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Quantity" tableColumnId="4"/>
      <queryTableField id="5" name="Clean Price ($)" tableColumnId="5"/>
      <queryTableField id="6" name="Clean Catego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77AFD5A-C4C1-4721-B107-688DD61F49A4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Quantity" tableColumnId="4"/>
      <queryTableField id="5" name="Clean Price ($)" tableColumnId="5"/>
      <queryTableField id="6" name="Clean Catego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7A16A4FC-1B59-45FD-8F8B-5E46F96FCAFF}" autoFormatId="16" applyNumberFormats="0" applyBorderFormats="0" applyFontFormats="0" applyPatternFormats="0" applyAlignmentFormats="0" applyWidthHeightFormats="0">
  <queryTableRefresh nextId="10" unboundColumnsLeft="2">
    <queryTableFields count="3">
      <queryTableField id="9" dataBound="0" tableColumnId="14"/>
      <queryTableField id="8" dataBound="0" tableColumnId="13"/>
      <queryTableField id="3" name="Brand Name" tableColumnId="3"/>
    </queryTableFields>
    <queryTableDeletedFields count="5">
      <deletedField name="Quantity"/>
      <deletedField name="Clean Price ($)"/>
      <deletedField name="Clean Category"/>
      <deletedField name="Product ID"/>
      <deletedField name="Product 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6CEE1C13-BA48-49BE-B548-358BD5D8D457}" autoFormatId="16" applyNumberFormats="0" applyBorderFormats="0" applyFontFormats="0" applyPatternFormats="0" applyAlignmentFormats="0" applyWidthHeightFormats="0">
  <queryTableRefresh nextId="8" unboundColumnsRight="1">
    <queryTableFields count="3">
      <queryTableField id="2" name="Product Name" tableColumnId="2"/>
      <queryTableField id="3" name="Brand Name" tableColumnId="3"/>
      <queryTableField id="7" dataBound="0" tableColumnId="7"/>
    </queryTableFields>
    <queryTableDeletedFields count="4">
      <deletedField name="Product ID"/>
      <deletedField name="Quantity"/>
      <deletedField name="Clean Price ($)"/>
      <deletedField name="Clean Category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6E46D6E0-F8AA-448A-8089-A13619C685D9}" autoFormatId="16" applyNumberFormats="0" applyBorderFormats="0" applyFontFormats="0" applyPatternFormats="0" applyAlignmentFormats="0" applyWidthHeightFormats="0">
  <queryTableRefresh nextId="7" unboundColumnsRight="1">
    <queryTableFields count="2">
      <queryTableField id="5" name="Clean Price ($)" tableColumnId="5"/>
      <queryTableField id="6" dataBound="0" tableColumnId="6"/>
    </queryTableFields>
    <queryTableDeletedFields count="5">
      <deletedField name="Product ID"/>
      <deletedField name="Product Name"/>
      <deletedField name="Brand Name"/>
      <deletedField name="Quantity"/>
      <deletedField name="Clean Category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44296556-2DCC-4427-AE64-C174EE48ACB4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Quantity" tableColumnId="4"/>
      <queryTableField id="5" name="Clean Price ($)" tableColumnId="5"/>
      <queryTableField id="6" name="Clean Categor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A2886-B2BA-462F-A68A-E84026AB9669}" name="PRODUCT_DB" displayName="PRODUCT_DB" ref="A3:H37" totalsRowShown="0" headerRowDxfId="47" dataDxfId="46">
  <autoFilter ref="A3:H37" xr:uid="{03C54350-618B-49CB-B7D6-3BDAAC4469AF}"/>
  <tableColumns count="8">
    <tableColumn id="1" xr3:uid="{27450FD0-ACE1-40A9-BE4F-5FD3C6916198}" name="Product ID" dataDxfId="45"/>
    <tableColumn id="2" xr3:uid="{62DEBE06-1777-4EB0-969E-0E4E78D4D3DE}" name="Product Name" dataDxfId="44"/>
    <tableColumn id="3" xr3:uid="{22DC1DFC-51CF-4E46-A7E4-ED49C4FE79EF}" name="Brand Name" dataDxfId="43"/>
    <tableColumn id="9" xr3:uid="{4AA56B25-981E-4F66-B6CA-19F4121081E4}" name="Quantity" dataDxfId="42"/>
    <tableColumn id="4" xr3:uid="{3787ADD5-284E-4FD5-AFF5-91D6AE19BF05}" name="Price ($)" dataDxfId="41"/>
    <tableColumn id="7" xr3:uid="{E7F0D3DC-A590-483B-B097-7264F7E005BB}" name="Clean Price ($)" dataDxfId="40">
      <calculatedColumnFormula>ROUND(IFERROR(IF(ISBLANK(PRODUCT_DB[[#This Row],[Price ($)]]),AVERAGEIF(PRODUCT_DB[Product Name],PRODUCT_DB[[#This Row],[Product Name]],PRODUCT_DB[Price ($)]),PRODUCT_DB[[#This Row],[Price ($)]]),AVERAGE(PRODUCT_DB[Price ($)])),0)</calculatedColumnFormula>
    </tableColumn>
    <tableColumn id="6" xr3:uid="{F152DE48-9183-46C3-9513-62759B89621C}" name="Category" dataDxfId="39"/>
    <tableColumn id="5" xr3:uid="{DECBD8CA-F094-4469-80F1-0D8F3CAF3184}" name="Clean Category2" dataDxfId="38">
      <calculatedColumnFormula>IFERROR(IF(INDEX($G$4:$G$37,MATCH(B4,$B$4:$B$37,0))="","Unknown",INDEX($G$4:$G$37,MATCH(B4,$B$4:$B$37,0))),"Unknown")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2F94B6-8677-4239-A77F-117B68E983FC}" name="DB__1" displayName="DB__1" ref="J3:O37" tableType="queryTable" totalsRowShown="0" headerRowDxfId="37" dataDxfId="36">
  <autoFilter ref="J3:O37" xr:uid="{1BCA3FEB-C289-4A0F-A2F3-346E7554E46F}"/>
  <tableColumns count="6">
    <tableColumn id="1" xr3:uid="{17136A3B-AAD3-45AD-A9D4-B189A2FCB77D}" uniqueName="1" name="Product ID" queryTableFieldId="1" dataDxfId="35"/>
    <tableColumn id="2" xr3:uid="{52DA4EBF-0FC5-4FA6-BCCA-E13D40786617}" uniqueName="2" name="Product Name" queryTableFieldId="2" dataDxfId="34"/>
    <tableColumn id="3" xr3:uid="{F9AA1C95-4D3C-4143-9CDB-A02FAAD7B0C2}" uniqueName="3" name="Brand Name" queryTableFieldId="3" dataDxfId="33"/>
    <tableColumn id="4" xr3:uid="{A95C092A-5F11-4548-AF53-E74629C77748}" uniqueName="4" name="Quantity" queryTableFieldId="4" dataDxfId="32"/>
    <tableColumn id="5" xr3:uid="{13B45246-949C-4AB4-B4B2-EDB856CD2431}" uniqueName="5" name="Clean Price ($)" queryTableFieldId="5" dataDxfId="31"/>
    <tableColumn id="6" xr3:uid="{7BBB1920-CA34-4739-879C-2E65045545BF}" uniqueName="6" name="Clean Category" queryTableFieldId="6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E986D3-6FC6-4866-AF55-E41DF1229D6C}" name="DB__2" displayName="DB__2" ref="R3:W34" tableType="queryTable" totalsRowShown="0" headerRowDxfId="29" dataDxfId="28">
  <autoFilter ref="R3:W34" xr:uid="{C1F90AB2-0418-4EEF-A1FF-2651286275DD}"/>
  <tableColumns count="6">
    <tableColumn id="1" xr3:uid="{E983F92B-48E8-44E2-8CDD-DAAF9F6BCD19}" uniqueName="1" name="Product ID" queryTableFieldId="1" dataDxfId="27"/>
    <tableColumn id="2" xr3:uid="{64336741-B3CC-4365-AFB0-176BE12F939C}" uniqueName="2" name="Product Name" queryTableFieldId="2" dataDxfId="26"/>
    <tableColumn id="3" xr3:uid="{D8991127-CA8B-470B-BC7A-9E498C53FA43}" uniqueName="3" name="Brand Name" queryTableFieldId="3" dataDxfId="25"/>
    <tableColumn id="4" xr3:uid="{1CE93C29-C945-448C-8DD0-28D4A87E5A83}" uniqueName="4" name="Quantity" queryTableFieldId="4" dataDxfId="24"/>
    <tableColumn id="5" xr3:uid="{72554E47-6167-4329-B986-6B3531E6694A}" uniqueName="5" name="Clean Price ($)" queryTableFieldId="5" dataDxfId="23"/>
    <tableColumn id="6" xr3:uid="{9E385731-D04B-4874-9BF4-868A2E923973}" uniqueName="6" name="Clean Category" queryTableFieldId="6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BEA902-788D-4E5D-826E-8B24663FDC98}" name="DB__316" displayName="DB__316" ref="Z3:AB34" tableType="queryTable" totalsRowShown="0" headerRowDxfId="21" dataDxfId="20">
  <autoFilter ref="Z3:AB34" xr:uid="{2B7FA7D8-0903-4839-B7BE-DD5730F9D910}"/>
  <tableColumns count="3">
    <tableColumn id="14" xr3:uid="{46A7C82C-A17E-46E5-9937-1F8E19FDC452}" uniqueName="14" name="Product ID" queryTableFieldId="9" dataDxfId="19"/>
    <tableColumn id="13" xr3:uid="{5E832C79-BDB9-4DAA-AAE1-D1B345CB8983}" uniqueName="13" name=" Manufacturing Date" queryTableFieldId="8" dataDxfId="18"/>
    <tableColumn id="3" xr3:uid="{20DAE5F2-71EB-4C30-8B64-CB2276C74ECE}" uniqueName="3" name="Country Code" queryTableFieldId="3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704E38A-96AB-4FCA-933C-6F35F065B7A6}" name="DB__217" displayName="DB__217" ref="AE3:AG34" tableType="queryTable" totalsRowShown="0" headerRowDxfId="16" dataDxfId="15">
  <autoFilter ref="AE3:AG34" xr:uid="{8156DEFE-2173-4981-88AE-971E68F154B6}"/>
  <tableColumns count="3">
    <tableColumn id="2" xr3:uid="{E3DBAA6C-F1E7-4E17-B407-43F46482BC15}" uniqueName="2" name="Product Name" queryTableFieldId="2" dataDxfId="14"/>
    <tableColumn id="3" xr3:uid="{CE5DC3F2-5825-44A6-B828-007F8905B349}" uniqueName="3" name="Brand Name" queryTableFieldId="3" dataDxfId="13"/>
    <tableColumn id="7" xr3:uid="{B741127B-6867-47C5-8621-DDA66F65CDF2}" uniqueName="7" name="Product Brand" queryTableFieldId="7" dataDxfId="12">
      <calculatedColumnFormula>DB__217[[#This Row],[Product Name]]&amp;" "&amp;DB__217[[#This Row],[Brand Name]]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4BFEBB-95B2-4DE0-802F-EE7FC0E2D0BA}" name="DB__218" displayName="DB__218" ref="AJ3:AK34" tableType="queryTable" totalsRowShown="0" headerRowDxfId="11" dataDxfId="10">
  <autoFilter ref="AJ3:AK34" xr:uid="{329CE72B-0704-4394-B985-500B9A36D5CA}"/>
  <tableColumns count="2">
    <tableColumn id="5" xr3:uid="{41340EE4-5BB3-4CD1-B533-5F26F717E248}" uniqueName="5" name="Price ($)" queryTableFieldId="5" dataDxfId="9"/>
    <tableColumn id="6" xr3:uid="{A96FB905-D60F-47CA-8673-07753161E57F}" uniqueName="6" name=" Manufacturing Date" queryTableFieldId="6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8FAB45-1A0C-4610-93F7-6F2067DA53FE}" name="DB__219" displayName="DB__219" ref="AN3:AS34" tableType="queryTable" totalsRowShown="0" headerRowDxfId="7" dataDxfId="6">
  <autoFilter ref="AN3:AS34" xr:uid="{5546A2B4-32BC-4B2E-A776-5D7818004B6B}"/>
  <tableColumns count="6">
    <tableColumn id="1" xr3:uid="{FE090DB2-77E9-4517-A7F8-70DA71CDE6E0}" uniqueName="1" name="Product ID" queryTableFieldId="1" dataDxfId="5"/>
    <tableColumn id="2" xr3:uid="{2D22628E-557F-42E2-9068-53A7E30B03BA}" uniqueName="2" name="Product Name" queryTableFieldId="2" dataDxfId="4"/>
    <tableColumn id="3" xr3:uid="{A2441CAA-A397-4865-BD9C-DF562277CE5C}" uniqueName="3" name="Brand Name" queryTableFieldId="3" dataDxfId="3"/>
    <tableColumn id="4" xr3:uid="{7C1F0254-A29B-4D95-AF78-3E8940902524}" uniqueName="4" name="Quantity" queryTableFieldId="4" dataDxfId="2"/>
    <tableColumn id="5" xr3:uid="{7023ACA0-063D-46B1-8DDE-3406B4F86AE4}" uniqueName="5" name="Price ($)" queryTableFieldId="5" dataDxfId="1"/>
    <tableColumn id="6" xr3:uid="{DFDB746D-D066-4551-BDBC-8020A7D12B9B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B506-A6FE-4DEC-B27F-46110DAC4D22}">
  <sheetPr>
    <outlinePr summaryBelow="0" summaryRight="0"/>
  </sheetPr>
  <dimension ref="A1:P1000"/>
  <sheetViews>
    <sheetView workbookViewId="0"/>
  </sheetViews>
  <sheetFormatPr defaultColWidth="12.6640625" defaultRowHeight="15" customHeight="1" x14ac:dyDescent="0.25"/>
  <cols>
    <col min="1" max="16384" width="12.6640625" style="32"/>
  </cols>
  <sheetData>
    <row r="1" spans="1:16" ht="15.75" customHeight="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16" ht="15.75" customHeight="1" x14ac:dyDescent="0.25">
      <c r="A2" s="33" t="s">
        <v>6</v>
      </c>
      <c r="B2" s="33" t="s">
        <v>7</v>
      </c>
      <c r="C2" s="33" t="s">
        <v>8</v>
      </c>
      <c r="D2" s="33">
        <v>1000</v>
      </c>
      <c r="E2" s="33">
        <v>30</v>
      </c>
      <c r="F2" s="33" t="s">
        <v>9</v>
      </c>
    </row>
    <row r="3" spans="1:16" ht="15.75" customHeight="1" x14ac:dyDescent="0.3">
      <c r="A3" s="34" t="s">
        <v>10</v>
      </c>
      <c r="B3" s="34" t="s">
        <v>11</v>
      </c>
      <c r="C3" s="34" t="s">
        <v>12</v>
      </c>
      <c r="D3" s="34">
        <v>80</v>
      </c>
      <c r="E3" s="34">
        <v>15</v>
      </c>
      <c r="F3" s="34" t="s">
        <v>13</v>
      </c>
      <c r="I3" s="35"/>
      <c r="J3" s="33"/>
      <c r="K3" s="33"/>
      <c r="L3" s="33"/>
      <c r="M3" s="33"/>
      <c r="N3" s="33"/>
      <c r="O3" s="33"/>
      <c r="P3" s="33"/>
    </row>
    <row r="4" spans="1:16" ht="15.75" customHeight="1" x14ac:dyDescent="0.3">
      <c r="A4" s="33" t="s">
        <v>14</v>
      </c>
      <c r="B4" s="33" t="s">
        <v>15</v>
      </c>
      <c r="C4" s="33" t="s">
        <v>16</v>
      </c>
      <c r="D4" s="33">
        <v>130</v>
      </c>
      <c r="E4" s="33">
        <v>40</v>
      </c>
      <c r="F4" s="33" t="s">
        <v>17</v>
      </c>
      <c r="I4" s="33"/>
      <c r="J4" s="36"/>
      <c r="K4" s="33"/>
      <c r="L4" s="33"/>
      <c r="M4" s="33"/>
      <c r="N4" s="33"/>
      <c r="O4" s="33"/>
      <c r="P4" s="33"/>
    </row>
    <row r="5" spans="1:16" ht="15.75" customHeight="1" x14ac:dyDescent="0.3">
      <c r="A5" s="34" t="s">
        <v>18</v>
      </c>
      <c r="B5" s="34" t="s">
        <v>19</v>
      </c>
      <c r="C5" s="34" t="s">
        <v>20</v>
      </c>
      <c r="D5" s="34">
        <v>900</v>
      </c>
      <c r="E5" s="34">
        <v>25</v>
      </c>
      <c r="F5" s="34" t="s">
        <v>9</v>
      </c>
      <c r="I5" s="33"/>
      <c r="J5" s="37"/>
      <c r="K5" s="33"/>
      <c r="L5" s="33"/>
      <c r="M5" s="33"/>
      <c r="N5" s="33"/>
      <c r="O5" s="33"/>
      <c r="P5" s="33"/>
    </row>
    <row r="6" spans="1:16" ht="15.75" customHeight="1" x14ac:dyDescent="0.25">
      <c r="A6" s="33" t="s">
        <v>21</v>
      </c>
      <c r="B6" s="33" t="s">
        <v>22</v>
      </c>
      <c r="C6" s="33" t="s">
        <v>23</v>
      </c>
      <c r="D6" s="33">
        <v>70</v>
      </c>
      <c r="E6" s="33">
        <v>20</v>
      </c>
      <c r="F6" s="33"/>
    </row>
    <row r="7" spans="1:16" ht="15.75" customHeight="1" x14ac:dyDescent="0.25">
      <c r="A7" s="34" t="s">
        <v>24</v>
      </c>
      <c r="B7" s="34" t="s">
        <v>25</v>
      </c>
      <c r="C7" s="34" t="s">
        <v>26</v>
      </c>
      <c r="D7" s="34"/>
      <c r="E7" s="34">
        <v>45</v>
      </c>
      <c r="F7" s="34" t="s">
        <v>141</v>
      </c>
    </row>
    <row r="8" spans="1:16" ht="15.75" customHeight="1" x14ac:dyDescent="0.25">
      <c r="A8" s="33" t="s">
        <v>27</v>
      </c>
      <c r="B8" s="33" t="s">
        <v>28</v>
      </c>
      <c r="C8" s="33" t="s">
        <v>29</v>
      </c>
      <c r="D8" s="33">
        <v>30</v>
      </c>
      <c r="E8" s="33">
        <v>5</v>
      </c>
      <c r="F8" s="33" t="s">
        <v>13</v>
      </c>
    </row>
    <row r="9" spans="1:16" ht="15.75" customHeight="1" x14ac:dyDescent="0.25">
      <c r="A9" s="34" t="s">
        <v>30</v>
      </c>
      <c r="B9" s="34" t="s">
        <v>31</v>
      </c>
      <c r="C9" s="34" t="s">
        <v>32</v>
      </c>
      <c r="D9" s="34">
        <v>90</v>
      </c>
      <c r="E9" s="34">
        <v>35</v>
      </c>
      <c r="F9" s="34" t="s">
        <v>17</v>
      </c>
    </row>
    <row r="10" spans="1:16" ht="15.75" customHeight="1" x14ac:dyDescent="0.25">
      <c r="A10" s="33" t="s">
        <v>33</v>
      </c>
      <c r="B10" s="33" t="s">
        <v>34</v>
      </c>
      <c r="C10" s="33" t="s">
        <v>35</v>
      </c>
      <c r="D10" s="33">
        <v>500</v>
      </c>
      <c r="E10" s="33">
        <v>50</v>
      </c>
      <c r="F10" s="33" t="s">
        <v>9</v>
      </c>
    </row>
    <row r="11" spans="1:16" ht="15.75" customHeight="1" x14ac:dyDescent="0.25">
      <c r="A11" s="34" t="s">
        <v>36</v>
      </c>
      <c r="B11" s="34" t="s">
        <v>37</v>
      </c>
      <c r="C11" s="34" t="s">
        <v>38</v>
      </c>
      <c r="D11" s="34">
        <v>130</v>
      </c>
      <c r="E11" s="34">
        <v>10</v>
      </c>
      <c r="F11" s="34" t="s">
        <v>39</v>
      </c>
    </row>
    <row r="12" spans="1:16" ht="15.75" customHeight="1" x14ac:dyDescent="0.25">
      <c r="A12" s="33" t="s">
        <v>40</v>
      </c>
      <c r="B12" s="33" t="s">
        <v>41</v>
      </c>
      <c r="C12" s="33" t="s">
        <v>42</v>
      </c>
      <c r="D12" s="33">
        <v>950</v>
      </c>
      <c r="E12" s="33">
        <v>25</v>
      </c>
      <c r="F12" s="33" t="s">
        <v>9</v>
      </c>
    </row>
    <row r="13" spans="1:16" ht="15.75" customHeight="1" x14ac:dyDescent="0.25">
      <c r="A13" s="34" t="s">
        <v>43</v>
      </c>
      <c r="B13" s="34" t="s">
        <v>11</v>
      </c>
      <c r="C13" s="34" t="s">
        <v>29</v>
      </c>
      <c r="D13" s="34">
        <v>90</v>
      </c>
      <c r="E13" s="34">
        <v>40</v>
      </c>
      <c r="F13" s="34"/>
    </row>
    <row r="14" spans="1:16" ht="15.75" customHeight="1" x14ac:dyDescent="0.25">
      <c r="A14" s="33" t="s">
        <v>44</v>
      </c>
      <c r="B14" s="33" t="s">
        <v>15</v>
      </c>
      <c r="C14" s="33" t="s">
        <v>45</v>
      </c>
      <c r="D14" s="33">
        <v>120</v>
      </c>
      <c r="E14" s="33">
        <v>35</v>
      </c>
      <c r="F14" s="33"/>
    </row>
    <row r="15" spans="1:16" ht="15.75" customHeight="1" x14ac:dyDescent="0.25">
      <c r="A15" s="34" t="s">
        <v>46</v>
      </c>
      <c r="B15" s="34" t="s">
        <v>47</v>
      </c>
      <c r="C15" s="34" t="s">
        <v>48</v>
      </c>
      <c r="D15" s="34">
        <v>150</v>
      </c>
      <c r="E15" s="34">
        <v>15</v>
      </c>
      <c r="F15" s="34" t="s">
        <v>141</v>
      </c>
    </row>
    <row r="16" spans="1:16" ht="15.75" customHeight="1" x14ac:dyDescent="0.25">
      <c r="A16" s="33" t="s">
        <v>49</v>
      </c>
      <c r="B16" s="33" t="s">
        <v>50</v>
      </c>
      <c r="C16" s="33" t="s">
        <v>51</v>
      </c>
      <c r="D16" s="33">
        <v>250</v>
      </c>
      <c r="E16" s="33">
        <v>20</v>
      </c>
      <c r="F16" s="33" t="s">
        <v>141</v>
      </c>
    </row>
    <row r="17" spans="1:6" ht="15.75" customHeight="1" x14ac:dyDescent="0.25">
      <c r="A17" s="34" t="s">
        <v>52</v>
      </c>
      <c r="B17" s="34" t="s">
        <v>53</v>
      </c>
      <c r="C17" s="34" t="s">
        <v>54</v>
      </c>
      <c r="D17" s="34">
        <v>50</v>
      </c>
      <c r="E17" s="34">
        <v>35</v>
      </c>
      <c r="F17" s="34" t="s">
        <v>55</v>
      </c>
    </row>
    <row r="18" spans="1:6" ht="15.75" customHeight="1" x14ac:dyDescent="0.25">
      <c r="A18" s="33" t="s">
        <v>56</v>
      </c>
      <c r="B18" s="33" t="s">
        <v>47</v>
      </c>
      <c r="C18" s="33" t="s">
        <v>57</v>
      </c>
      <c r="D18" s="33">
        <v>160</v>
      </c>
      <c r="E18" s="33">
        <v>15</v>
      </c>
      <c r="F18" s="33" t="s">
        <v>141</v>
      </c>
    </row>
    <row r="19" spans="1:6" ht="15.75" customHeight="1" x14ac:dyDescent="0.25">
      <c r="A19" s="34" t="s">
        <v>58</v>
      </c>
      <c r="B19" s="34" t="s">
        <v>7</v>
      </c>
      <c r="C19" s="34" t="s">
        <v>59</v>
      </c>
      <c r="D19" s="34">
        <v>980</v>
      </c>
      <c r="E19" s="34">
        <v>10</v>
      </c>
      <c r="F19" s="34" t="s">
        <v>9</v>
      </c>
    </row>
    <row r="20" spans="1:6" ht="15.75" customHeight="1" x14ac:dyDescent="0.25">
      <c r="A20" s="33" t="s">
        <v>60</v>
      </c>
      <c r="B20" s="33" t="s">
        <v>61</v>
      </c>
      <c r="C20" s="33" t="s">
        <v>62</v>
      </c>
      <c r="D20" s="33">
        <v>150</v>
      </c>
      <c r="E20" s="33">
        <v>15</v>
      </c>
      <c r="F20" s="33" t="s">
        <v>13</v>
      </c>
    </row>
    <row r="21" spans="1:6" ht="15.75" customHeight="1" x14ac:dyDescent="0.25">
      <c r="A21" s="34" t="s">
        <v>63</v>
      </c>
      <c r="B21" s="34" t="s">
        <v>64</v>
      </c>
      <c r="C21" s="34" t="s">
        <v>65</v>
      </c>
      <c r="D21" s="34"/>
      <c r="E21" s="34">
        <v>10</v>
      </c>
      <c r="F21" s="34" t="s">
        <v>39</v>
      </c>
    </row>
    <row r="22" spans="1:6" ht="15.75" customHeight="1" x14ac:dyDescent="0.25">
      <c r="A22" s="33" t="s">
        <v>66</v>
      </c>
      <c r="B22" s="33" t="s">
        <v>67</v>
      </c>
      <c r="C22" s="33" t="s">
        <v>68</v>
      </c>
      <c r="D22" s="33">
        <v>700</v>
      </c>
      <c r="E22" s="33">
        <v>50</v>
      </c>
      <c r="F22" s="33" t="s">
        <v>9</v>
      </c>
    </row>
    <row r="23" spans="1:6" ht="15.75" customHeight="1" x14ac:dyDescent="0.25">
      <c r="A23" s="34" t="s">
        <v>69</v>
      </c>
      <c r="B23" s="34" t="s">
        <v>70</v>
      </c>
      <c r="C23" s="34" t="s">
        <v>71</v>
      </c>
      <c r="D23" s="34">
        <v>80</v>
      </c>
      <c r="E23" s="34">
        <v>20</v>
      </c>
      <c r="F23" s="34" t="s">
        <v>17</v>
      </c>
    </row>
    <row r="24" spans="1:6" ht="15.75" customHeight="1" x14ac:dyDescent="0.25">
      <c r="A24" s="33" t="s">
        <v>72</v>
      </c>
      <c r="B24" s="33" t="s">
        <v>73</v>
      </c>
      <c r="C24" s="33" t="s">
        <v>74</v>
      </c>
      <c r="D24" s="33">
        <v>150</v>
      </c>
      <c r="E24" s="33">
        <v>30</v>
      </c>
      <c r="F24" s="33"/>
    </row>
    <row r="25" spans="1:6" ht="15.75" customHeight="1" x14ac:dyDescent="0.25">
      <c r="A25" s="34" t="s">
        <v>52</v>
      </c>
      <c r="B25" s="34" t="s">
        <v>53</v>
      </c>
      <c r="C25" s="34" t="s">
        <v>54</v>
      </c>
      <c r="D25" s="34">
        <v>50</v>
      </c>
      <c r="E25" s="34">
        <v>35</v>
      </c>
      <c r="F25" s="34" t="s">
        <v>55</v>
      </c>
    </row>
    <row r="26" spans="1:6" ht="15.75" customHeight="1" x14ac:dyDescent="0.25">
      <c r="A26" s="33" t="s">
        <v>75</v>
      </c>
      <c r="B26" s="33" t="s">
        <v>76</v>
      </c>
      <c r="C26" s="33" t="s">
        <v>77</v>
      </c>
      <c r="D26" s="33">
        <v>800</v>
      </c>
      <c r="E26" s="33">
        <v>45</v>
      </c>
      <c r="F26" s="33" t="s">
        <v>9</v>
      </c>
    </row>
    <row r="27" spans="1:6" ht="15.75" customHeight="1" x14ac:dyDescent="0.25">
      <c r="A27" s="34" t="s">
        <v>78</v>
      </c>
      <c r="B27" s="34" t="s">
        <v>61</v>
      </c>
      <c r="C27" s="34" t="s">
        <v>79</v>
      </c>
      <c r="D27" s="34"/>
      <c r="E27" s="34">
        <v>25</v>
      </c>
      <c r="F27" s="34" t="s">
        <v>13</v>
      </c>
    </row>
    <row r="28" spans="1:6" ht="15.75" customHeight="1" x14ac:dyDescent="0.25">
      <c r="A28" s="33" t="s">
        <v>80</v>
      </c>
      <c r="B28" s="33" t="s">
        <v>31</v>
      </c>
      <c r="C28" s="33" t="s">
        <v>81</v>
      </c>
      <c r="D28" s="33">
        <v>400</v>
      </c>
      <c r="E28" s="33">
        <v>40</v>
      </c>
      <c r="F28" s="33" t="s">
        <v>17</v>
      </c>
    </row>
    <row r="29" spans="1:6" ht="15.75" customHeight="1" x14ac:dyDescent="0.25">
      <c r="A29" s="34" t="s">
        <v>49</v>
      </c>
      <c r="B29" s="34" t="s">
        <v>50</v>
      </c>
      <c r="C29" s="34" t="s">
        <v>51</v>
      </c>
      <c r="D29" s="34">
        <v>250</v>
      </c>
      <c r="E29" s="34">
        <v>20</v>
      </c>
      <c r="F29" s="34" t="s">
        <v>141</v>
      </c>
    </row>
    <row r="30" spans="1:6" ht="15.75" customHeight="1" x14ac:dyDescent="0.25">
      <c r="A30" s="33" t="s">
        <v>82</v>
      </c>
      <c r="B30" s="33" t="s">
        <v>83</v>
      </c>
      <c r="C30" s="33" t="s">
        <v>84</v>
      </c>
      <c r="D30" s="33">
        <v>60</v>
      </c>
      <c r="E30" s="33">
        <v>30</v>
      </c>
      <c r="F30" s="33" t="s">
        <v>13</v>
      </c>
    </row>
    <row r="31" spans="1:6" ht="15.75" customHeight="1" x14ac:dyDescent="0.25">
      <c r="A31" s="34" t="s">
        <v>85</v>
      </c>
      <c r="B31" s="34" t="s">
        <v>86</v>
      </c>
      <c r="C31" s="34" t="s">
        <v>87</v>
      </c>
      <c r="D31" s="34">
        <v>40</v>
      </c>
      <c r="E31" s="34">
        <v>10</v>
      </c>
      <c r="F31" s="34" t="s">
        <v>17</v>
      </c>
    </row>
    <row r="32" spans="1:6" ht="15.75" customHeight="1" x14ac:dyDescent="0.25">
      <c r="A32" s="33" t="s">
        <v>88</v>
      </c>
      <c r="B32" s="33" t="s">
        <v>73</v>
      </c>
      <c r="C32" s="33" t="s">
        <v>89</v>
      </c>
      <c r="D32" s="33">
        <v>130</v>
      </c>
      <c r="E32" s="33">
        <v>5</v>
      </c>
      <c r="F32" s="33" t="s">
        <v>9</v>
      </c>
    </row>
    <row r="33" spans="1:6" ht="15.75" customHeight="1" x14ac:dyDescent="0.25">
      <c r="A33" s="34" t="s">
        <v>90</v>
      </c>
      <c r="B33" s="34" t="s">
        <v>91</v>
      </c>
      <c r="C33" s="34" t="s">
        <v>92</v>
      </c>
      <c r="D33" s="34">
        <v>50</v>
      </c>
      <c r="E33" s="34">
        <v>50</v>
      </c>
      <c r="F33" s="34" t="s">
        <v>13</v>
      </c>
    </row>
    <row r="34" spans="1:6" ht="15.75" customHeight="1" x14ac:dyDescent="0.25">
      <c r="A34" s="33" t="s">
        <v>40</v>
      </c>
      <c r="B34" s="33" t="s">
        <v>41</v>
      </c>
      <c r="C34" s="33" t="s">
        <v>42</v>
      </c>
      <c r="D34" s="33">
        <v>950</v>
      </c>
      <c r="E34" s="33">
        <v>25</v>
      </c>
      <c r="F34" s="33" t="s">
        <v>9</v>
      </c>
    </row>
    <row r="35" spans="1:6" ht="15.75" customHeight="1" x14ac:dyDescent="0.25">
      <c r="A35" s="34" t="s">
        <v>93</v>
      </c>
      <c r="B35" s="34" t="s">
        <v>94</v>
      </c>
      <c r="C35" s="34" t="s">
        <v>95</v>
      </c>
      <c r="D35" s="34">
        <v>100</v>
      </c>
      <c r="E35" s="34">
        <v>20</v>
      </c>
      <c r="F35" s="34" t="s">
        <v>55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8113-8DF7-431B-8A9F-71010DB18BF2}">
  <dimension ref="A1:A19"/>
  <sheetViews>
    <sheetView workbookViewId="0">
      <selection activeCell="A8" sqref="A8"/>
    </sheetView>
  </sheetViews>
  <sheetFormatPr defaultRowHeight="13.2" x14ac:dyDescent="0.25"/>
  <cols>
    <col min="1" max="1" width="137.5546875" bestFit="1" customWidth="1"/>
    <col min="2" max="2" width="8.88671875" customWidth="1"/>
  </cols>
  <sheetData>
    <row r="1" spans="1:1" ht="78" customHeight="1" x14ac:dyDescent="0.25">
      <c r="A1" s="20" t="s">
        <v>138</v>
      </c>
    </row>
    <row r="2" spans="1:1" ht="22.2" x14ac:dyDescent="0.25">
      <c r="A2" s="21" t="s">
        <v>139</v>
      </c>
    </row>
    <row r="3" spans="1:1" ht="37.200000000000003" customHeight="1" x14ac:dyDescent="0.25">
      <c r="A3" s="1" t="s">
        <v>96</v>
      </c>
    </row>
    <row r="4" spans="1:1" ht="25.8" customHeight="1" x14ac:dyDescent="0.25">
      <c r="A4" s="2" t="s">
        <v>97</v>
      </c>
    </row>
    <row r="5" spans="1:1" ht="15.6" x14ac:dyDescent="0.25">
      <c r="A5" s="2" t="s">
        <v>98</v>
      </c>
    </row>
    <row r="6" spans="1:1" ht="19.2" customHeight="1" x14ac:dyDescent="0.25">
      <c r="A6" s="3" t="s">
        <v>99</v>
      </c>
    </row>
    <row r="7" spans="1:1" ht="52.8" customHeight="1" x14ac:dyDescent="0.25">
      <c r="A7" s="1" t="s">
        <v>100</v>
      </c>
    </row>
    <row r="8" spans="1:1" ht="52.8" customHeight="1" x14ac:dyDescent="0.25">
      <c r="A8" s="4" t="s">
        <v>108</v>
      </c>
    </row>
    <row r="9" spans="1:1" ht="28.8" customHeight="1" x14ac:dyDescent="0.25">
      <c r="A9" s="4" t="s">
        <v>109</v>
      </c>
    </row>
    <row r="10" spans="1:1" ht="28.8" customHeight="1" x14ac:dyDescent="0.25">
      <c r="A10" s="1" t="s">
        <v>110</v>
      </c>
    </row>
    <row r="11" spans="1:1" ht="28.8" customHeight="1" x14ac:dyDescent="0.25">
      <c r="A11" s="2" t="s">
        <v>101</v>
      </c>
    </row>
    <row r="12" spans="1:1" ht="37.799999999999997" customHeight="1" x14ac:dyDescent="0.25">
      <c r="A12" s="1" t="s">
        <v>102</v>
      </c>
    </row>
    <row r="13" spans="1:1" ht="28.8" customHeight="1" x14ac:dyDescent="0.25">
      <c r="A13" s="4" t="s">
        <v>111</v>
      </c>
    </row>
    <row r="14" spans="1:1" ht="22.2" customHeight="1" x14ac:dyDescent="0.25">
      <c r="A14" s="2" t="s">
        <v>103</v>
      </c>
    </row>
    <row r="15" spans="1:1" ht="22.2" customHeight="1" x14ac:dyDescent="0.25">
      <c r="A15" s="1" t="s">
        <v>104</v>
      </c>
    </row>
    <row r="16" spans="1:1" ht="22.2" customHeight="1" x14ac:dyDescent="0.25">
      <c r="A16" s="2" t="s">
        <v>105</v>
      </c>
    </row>
    <row r="17" spans="1:1" ht="22.2" customHeight="1" x14ac:dyDescent="0.25">
      <c r="A17" s="2" t="s">
        <v>106</v>
      </c>
    </row>
    <row r="18" spans="1:1" ht="40.799999999999997" customHeight="1" x14ac:dyDescent="0.25">
      <c r="A18" s="1" t="s">
        <v>107</v>
      </c>
    </row>
    <row r="19" spans="1:1" ht="31.2" x14ac:dyDescent="0.25">
      <c r="A19" s="4" t="s">
        <v>112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88ED-3B87-463C-9BBC-C32569017E53}">
  <sheetPr>
    <outlinePr summaryBelow="0" summaryRight="0"/>
  </sheetPr>
  <dimension ref="A2:AS40"/>
  <sheetViews>
    <sheetView tabSelected="1" workbookViewId="0">
      <selection activeCell="AS32" sqref="AS32"/>
    </sheetView>
  </sheetViews>
  <sheetFormatPr defaultColWidth="14.88671875" defaultRowHeight="16.8" customHeight="1" x14ac:dyDescent="0.25"/>
  <cols>
    <col min="1" max="21" width="14.88671875" style="5"/>
    <col min="22" max="22" width="17.21875" style="5" customWidth="1"/>
    <col min="23" max="23" width="14.88671875" style="5" customWidth="1"/>
    <col min="24" max="26" width="14.88671875" style="5"/>
    <col min="27" max="27" width="22.88671875" style="16" customWidth="1"/>
    <col min="28" max="28" width="17.21875" style="16" customWidth="1"/>
    <col min="29" max="32" width="14.88671875" style="5"/>
    <col min="33" max="33" width="24.6640625" style="5" customWidth="1"/>
    <col min="34" max="35" width="14.88671875" style="5"/>
    <col min="36" max="36" width="17.5546875" style="19" customWidth="1"/>
    <col min="37" max="37" width="22.88671875" style="13" customWidth="1"/>
    <col min="38" max="43" width="14.88671875" style="5"/>
    <col min="44" max="44" width="17.21875" style="19" customWidth="1"/>
    <col min="45" max="45" width="17.44140625" style="5" customWidth="1"/>
    <col min="46" max="16384" width="14.88671875" style="5"/>
  </cols>
  <sheetData>
    <row r="2" spans="1:45" ht="22.8" customHeight="1" x14ac:dyDescent="0.25">
      <c r="A2" s="29" t="s">
        <v>113</v>
      </c>
      <c r="B2" s="30"/>
      <c r="C2" s="30"/>
      <c r="D2" s="30"/>
      <c r="E2" s="30"/>
      <c r="F2" s="30"/>
      <c r="G2" s="30"/>
      <c r="H2" s="30"/>
      <c r="J2" s="26" t="s">
        <v>117</v>
      </c>
      <c r="K2" s="26"/>
      <c r="L2" s="26"/>
      <c r="M2" s="26"/>
      <c r="N2" s="26"/>
      <c r="O2" s="26"/>
      <c r="R2" s="26" t="s">
        <v>118</v>
      </c>
      <c r="S2" s="26"/>
      <c r="T2" s="26"/>
      <c r="U2" s="26"/>
      <c r="V2" s="26"/>
      <c r="W2" s="26"/>
      <c r="Z2" s="26" t="s">
        <v>135</v>
      </c>
      <c r="AA2" s="26"/>
      <c r="AB2" s="26"/>
      <c r="AE2" s="27" t="s">
        <v>120</v>
      </c>
      <c r="AF2" s="28"/>
      <c r="AG2" s="28"/>
      <c r="AJ2" s="26" t="s">
        <v>136</v>
      </c>
      <c r="AK2" s="26"/>
      <c r="AN2" s="23" t="s">
        <v>137</v>
      </c>
      <c r="AO2" s="24"/>
      <c r="AP2" s="24"/>
      <c r="AQ2" s="24"/>
      <c r="AR2" s="24"/>
      <c r="AS2" s="25"/>
    </row>
    <row r="3" spans="1:45" ht="16.8" customHeight="1" x14ac:dyDescent="0.25">
      <c r="A3" s="6" t="s">
        <v>0</v>
      </c>
      <c r="B3" s="6" t="s">
        <v>1</v>
      </c>
      <c r="C3" s="6" t="s">
        <v>2</v>
      </c>
      <c r="D3" s="6" t="s">
        <v>4</v>
      </c>
      <c r="E3" s="6" t="s">
        <v>3</v>
      </c>
      <c r="F3" s="6" t="s">
        <v>114</v>
      </c>
      <c r="G3" s="6" t="s">
        <v>5</v>
      </c>
      <c r="H3" s="6" t="s">
        <v>140</v>
      </c>
      <c r="J3" s="10" t="s">
        <v>0</v>
      </c>
      <c r="K3" s="10" t="s">
        <v>1</v>
      </c>
      <c r="L3" s="10" t="s">
        <v>2</v>
      </c>
      <c r="M3" s="10" t="s">
        <v>4</v>
      </c>
      <c r="N3" s="10" t="s">
        <v>114</v>
      </c>
      <c r="O3" s="10" t="s">
        <v>115</v>
      </c>
      <c r="R3" s="10" t="s">
        <v>0</v>
      </c>
      <c r="S3" s="10" t="s">
        <v>1</v>
      </c>
      <c r="T3" s="10" t="s">
        <v>2</v>
      </c>
      <c r="U3" s="10" t="s">
        <v>4</v>
      </c>
      <c r="V3" s="10" t="s">
        <v>114</v>
      </c>
      <c r="W3" s="10" t="s">
        <v>115</v>
      </c>
      <c r="Z3" s="10" t="s">
        <v>0</v>
      </c>
      <c r="AA3" s="12" t="s">
        <v>134</v>
      </c>
      <c r="AB3" s="12" t="s">
        <v>119</v>
      </c>
      <c r="AE3" s="10" t="s">
        <v>1</v>
      </c>
      <c r="AF3" s="10" t="s">
        <v>2</v>
      </c>
      <c r="AG3" s="5" t="s">
        <v>133</v>
      </c>
      <c r="AJ3" s="18" t="s">
        <v>3</v>
      </c>
      <c r="AK3" s="14" t="s">
        <v>134</v>
      </c>
      <c r="AN3" s="10" t="s">
        <v>0</v>
      </c>
      <c r="AO3" s="10" t="s">
        <v>1</v>
      </c>
      <c r="AP3" s="10" t="s">
        <v>2</v>
      </c>
      <c r="AQ3" s="10" t="s">
        <v>4</v>
      </c>
      <c r="AR3" s="18" t="s">
        <v>3</v>
      </c>
      <c r="AS3" s="10" t="s">
        <v>5</v>
      </c>
    </row>
    <row r="4" spans="1:45" ht="16.8" customHeight="1" x14ac:dyDescent="0.25">
      <c r="A4" s="7" t="s">
        <v>6</v>
      </c>
      <c r="B4" s="7" t="s">
        <v>7</v>
      </c>
      <c r="C4" s="7" t="s">
        <v>8</v>
      </c>
      <c r="D4" s="7">
        <v>30</v>
      </c>
      <c r="E4" s="7">
        <v>1000</v>
      </c>
      <c r="F4" s="7">
        <f>ROUND(IFERROR(IF(ISBLANK(PRODUCT_DB[[#This Row],[Price ($)]]),AVERAGEIF(PRODUCT_DB[Product Name],PRODUCT_DB[[#This Row],[Product Name]],PRODUCT_DB[Price ($)]),PRODUCT_DB[[#This Row],[Price ($)]]),AVERAGE(PRODUCT_DB[Price ($)])),0)</f>
        <v>1000</v>
      </c>
      <c r="G4" s="7" t="s">
        <v>9</v>
      </c>
      <c r="H4" s="8" t="str">
        <f>IFERROR(IF(INDEX($G$4:$G$37,MATCH(B4,$B$4:$B$37,0))="","Unknown",INDEX($G$4:$G$37,MATCH(B4,$B$4:$B$37,0))),"Unknown")</f>
        <v>Electronics</v>
      </c>
      <c r="J4" s="11" t="s">
        <v>6</v>
      </c>
      <c r="K4" s="12" t="s">
        <v>41</v>
      </c>
      <c r="L4" s="11" t="s">
        <v>8</v>
      </c>
      <c r="M4" s="10">
        <v>30</v>
      </c>
      <c r="N4" s="10">
        <v>1000</v>
      </c>
      <c r="O4" s="10" t="s">
        <v>9</v>
      </c>
      <c r="R4" s="11" t="s">
        <v>6</v>
      </c>
      <c r="S4" s="11" t="s">
        <v>41</v>
      </c>
      <c r="T4" s="11" t="s">
        <v>8</v>
      </c>
      <c r="U4" s="10">
        <v>30</v>
      </c>
      <c r="V4" s="10">
        <v>1000</v>
      </c>
      <c r="W4" s="11" t="s">
        <v>9</v>
      </c>
      <c r="Z4" s="11" t="s">
        <v>6</v>
      </c>
      <c r="AA4" s="17">
        <v>46050</v>
      </c>
      <c r="AB4" s="12" t="s">
        <v>121</v>
      </c>
      <c r="AE4" s="11" t="s">
        <v>41</v>
      </c>
      <c r="AF4" s="11" t="s">
        <v>8</v>
      </c>
      <c r="AG4" s="11" t="str">
        <f>DB__217[[#This Row],[Product Name]]&amp;" "&amp;DB__217[[#This Row],[Brand Name]]</f>
        <v>Laptop Dell</v>
      </c>
      <c r="AJ4" s="18">
        <v>1000</v>
      </c>
      <c r="AK4" s="15">
        <v>46050</v>
      </c>
      <c r="AN4" s="11" t="s">
        <v>6</v>
      </c>
      <c r="AO4" s="11" t="s">
        <v>41</v>
      </c>
      <c r="AP4" s="11" t="s">
        <v>8</v>
      </c>
      <c r="AQ4" s="10">
        <v>30</v>
      </c>
      <c r="AR4" s="18">
        <v>1000</v>
      </c>
      <c r="AS4" s="11" t="s">
        <v>9</v>
      </c>
    </row>
    <row r="5" spans="1:45" ht="16.8" customHeight="1" x14ac:dyDescent="0.25">
      <c r="A5" s="8" t="s">
        <v>10</v>
      </c>
      <c r="B5" s="8" t="s">
        <v>11</v>
      </c>
      <c r="C5" s="8" t="s">
        <v>12</v>
      </c>
      <c r="D5" s="8">
        <v>15</v>
      </c>
      <c r="E5" s="8">
        <v>80</v>
      </c>
      <c r="F5" s="8">
        <f>ROUND(IFERROR(IF(ISBLANK(PRODUCT_DB[[#This Row],[Price ($)]]),AVERAGEIF(PRODUCT_DB[Product Name],PRODUCT_DB[[#This Row],[Product Name]],PRODUCT_DB[Price ($)]),PRODUCT_DB[[#This Row],[Price ($)]]),AVERAGE(PRODUCT_DB[Price ($)])),0)</f>
        <v>80</v>
      </c>
      <c r="G5" s="8" t="s">
        <v>13</v>
      </c>
      <c r="H5" s="8" t="str">
        <f t="shared" ref="H5:H37" si="0">IFERROR(IF(INDEX($G$4:$G$37,MATCH(B5,$B$4:$B$37,0))="","Unknown",INDEX($G$4:$G$37,MATCH(B5,$B$4:$B$37,0))),"Unknown")</f>
        <v>Fashion</v>
      </c>
      <c r="J5" s="11" t="s">
        <v>10</v>
      </c>
      <c r="K5" s="11" t="s">
        <v>11</v>
      </c>
      <c r="L5" s="11" t="s">
        <v>12</v>
      </c>
      <c r="M5" s="10">
        <v>15</v>
      </c>
      <c r="N5" s="10">
        <v>80</v>
      </c>
      <c r="O5" s="10" t="s">
        <v>13</v>
      </c>
      <c r="R5" s="11" t="s">
        <v>10</v>
      </c>
      <c r="S5" s="11" t="s">
        <v>11</v>
      </c>
      <c r="T5" s="11" t="s">
        <v>12</v>
      </c>
      <c r="U5" s="10">
        <v>15</v>
      </c>
      <c r="V5" s="10">
        <v>80</v>
      </c>
      <c r="W5" s="11" t="s">
        <v>13</v>
      </c>
      <c r="Z5" s="11" t="s">
        <v>10</v>
      </c>
      <c r="AA5" s="17">
        <v>46068</v>
      </c>
      <c r="AB5" s="12" t="s">
        <v>121</v>
      </c>
      <c r="AE5" s="11" t="s">
        <v>11</v>
      </c>
      <c r="AF5" s="11" t="s">
        <v>12</v>
      </c>
      <c r="AG5" s="11" t="str">
        <f>DB__217[[#This Row],[Product Name]]&amp;" "&amp;DB__217[[#This Row],[Brand Name]]</f>
        <v>Sneakers Nike</v>
      </c>
      <c r="AJ5" s="18">
        <v>80</v>
      </c>
      <c r="AK5" s="15">
        <v>46068</v>
      </c>
      <c r="AN5" s="11" t="s">
        <v>10</v>
      </c>
      <c r="AO5" s="11" t="s">
        <v>11</v>
      </c>
      <c r="AP5" s="11" t="s">
        <v>12</v>
      </c>
      <c r="AQ5" s="10">
        <v>15</v>
      </c>
      <c r="AR5" s="18">
        <v>80</v>
      </c>
      <c r="AS5" s="11" t="s">
        <v>13</v>
      </c>
    </row>
    <row r="6" spans="1:45" ht="16.8" customHeight="1" x14ac:dyDescent="0.25">
      <c r="A6" s="7" t="s">
        <v>14</v>
      </c>
      <c r="B6" s="7" t="s">
        <v>15</v>
      </c>
      <c r="C6" s="7" t="s">
        <v>16</v>
      </c>
      <c r="D6" s="7">
        <v>40</v>
      </c>
      <c r="E6" s="7">
        <v>130</v>
      </c>
      <c r="F6" s="7">
        <f>ROUND(IFERROR(IF(ISBLANK(PRODUCT_DB[[#This Row],[Price ($)]]),AVERAGEIF(PRODUCT_DB[Product Name],PRODUCT_DB[[#This Row],[Product Name]],PRODUCT_DB[Price ($)]),PRODUCT_DB[[#This Row],[Price ($)]]),AVERAGE(PRODUCT_DB[Price ($)])),0)</f>
        <v>130</v>
      </c>
      <c r="G6" s="7" t="s">
        <v>17</v>
      </c>
      <c r="H6" s="8" t="str">
        <f t="shared" si="0"/>
        <v>Kitchen</v>
      </c>
      <c r="J6" s="11" t="s">
        <v>14</v>
      </c>
      <c r="K6" s="11" t="s">
        <v>15</v>
      </c>
      <c r="L6" s="11" t="s">
        <v>16</v>
      </c>
      <c r="M6" s="10">
        <v>40</v>
      </c>
      <c r="N6" s="10">
        <v>130</v>
      </c>
      <c r="O6" s="10" t="s">
        <v>17</v>
      </c>
      <c r="R6" s="11" t="s">
        <v>14</v>
      </c>
      <c r="S6" s="11" t="s">
        <v>15</v>
      </c>
      <c r="T6" s="11" t="s">
        <v>16</v>
      </c>
      <c r="U6" s="10">
        <v>40</v>
      </c>
      <c r="V6" s="10">
        <v>130</v>
      </c>
      <c r="W6" s="11" t="s">
        <v>17</v>
      </c>
      <c r="Z6" s="11" t="s">
        <v>14</v>
      </c>
      <c r="AA6" s="17">
        <v>46084</v>
      </c>
      <c r="AB6" s="12" t="s">
        <v>121</v>
      </c>
      <c r="AE6" s="11" t="s">
        <v>15</v>
      </c>
      <c r="AF6" s="11" t="s">
        <v>16</v>
      </c>
      <c r="AG6" s="11" t="str">
        <f>DB__217[[#This Row],[Product Name]]&amp;" "&amp;DB__217[[#This Row],[Brand Name]]</f>
        <v>Coffee Maker Keurig</v>
      </c>
      <c r="AJ6" s="18">
        <v>130</v>
      </c>
      <c r="AK6" s="15">
        <v>46084</v>
      </c>
      <c r="AN6" s="11" t="s">
        <v>14</v>
      </c>
      <c r="AO6" s="11" t="s">
        <v>15</v>
      </c>
      <c r="AP6" s="11" t="s">
        <v>16</v>
      </c>
      <c r="AQ6" s="10">
        <v>40</v>
      </c>
      <c r="AR6" s="18">
        <v>130</v>
      </c>
      <c r="AS6" s="11" t="s">
        <v>17</v>
      </c>
    </row>
    <row r="7" spans="1:45" ht="16.8" customHeight="1" x14ac:dyDescent="0.25">
      <c r="A7" s="8" t="s">
        <v>18</v>
      </c>
      <c r="B7" s="8" t="s">
        <v>19</v>
      </c>
      <c r="C7" s="8" t="s">
        <v>20</v>
      </c>
      <c r="D7" s="8">
        <v>25</v>
      </c>
      <c r="E7" s="8">
        <v>900</v>
      </c>
      <c r="F7" s="8">
        <f>ROUND(IFERROR(IF(ISBLANK(PRODUCT_DB[[#This Row],[Price ($)]]),AVERAGEIF(PRODUCT_DB[Product Name],PRODUCT_DB[[#This Row],[Product Name]],PRODUCT_DB[Price ($)]),PRODUCT_DB[[#This Row],[Price ($)]]),AVERAGE(PRODUCT_DB[Price ($)])),0)</f>
        <v>900</v>
      </c>
      <c r="G7" s="8" t="s">
        <v>9</v>
      </c>
      <c r="H7" s="8" t="str">
        <f t="shared" si="0"/>
        <v>Electronics</v>
      </c>
      <c r="J7" s="11" t="s">
        <v>18</v>
      </c>
      <c r="K7" s="11" t="s">
        <v>19</v>
      </c>
      <c r="L7" s="11" t="s">
        <v>20</v>
      </c>
      <c r="M7" s="10">
        <v>25</v>
      </c>
      <c r="N7" s="10">
        <v>900</v>
      </c>
      <c r="O7" s="10" t="s">
        <v>9</v>
      </c>
      <c r="R7" s="11" t="s">
        <v>18</v>
      </c>
      <c r="S7" s="11" t="s">
        <v>19</v>
      </c>
      <c r="T7" s="11" t="s">
        <v>20</v>
      </c>
      <c r="U7" s="10">
        <v>25</v>
      </c>
      <c r="V7" s="10">
        <v>900</v>
      </c>
      <c r="W7" s="11" t="s">
        <v>9</v>
      </c>
      <c r="Z7" s="11" t="s">
        <v>18</v>
      </c>
      <c r="AA7" s="17">
        <v>46123</v>
      </c>
      <c r="AB7" s="12" t="s">
        <v>121</v>
      </c>
      <c r="AE7" s="11" t="s">
        <v>19</v>
      </c>
      <c r="AF7" s="11" t="s">
        <v>20</v>
      </c>
      <c r="AG7" s="11" t="str">
        <f>DB__217[[#This Row],[Product Name]]&amp;" "&amp;DB__217[[#This Row],[Brand Name]]</f>
        <v>smartphone Samsung</v>
      </c>
      <c r="AJ7" s="18">
        <v>900</v>
      </c>
      <c r="AK7" s="15">
        <v>46123</v>
      </c>
      <c r="AN7" s="11" t="s">
        <v>18</v>
      </c>
      <c r="AO7" s="11" t="s">
        <v>19</v>
      </c>
      <c r="AP7" s="11" t="s">
        <v>20</v>
      </c>
      <c r="AQ7" s="10">
        <v>25</v>
      </c>
      <c r="AR7" s="18">
        <v>900</v>
      </c>
      <c r="AS7" s="11" t="s">
        <v>9</v>
      </c>
    </row>
    <row r="8" spans="1:45" ht="16.8" customHeight="1" x14ac:dyDescent="0.25">
      <c r="A8" s="7" t="s">
        <v>21</v>
      </c>
      <c r="B8" s="7" t="s">
        <v>22</v>
      </c>
      <c r="C8" s="7" t="s">
        <v>23</v>
      </c>
      <c r="D8" s="7">
        <v>20</v>
      </c>
      <c r="E8" s="7">
        <v>70</v>
      </c>
      <c r="F8" s="7">
        <f>ROUND(IFERROR(IF(ISBLANK(PRODUCT_DB[[#This Row],[Price ($)]]),AVERAGEIF(PRODUCT_DB[Product Name],PRODUCT_DB[[#This Row],[Product Name]],PRODUCT_DB[Price ($)]),PRODUCT_DB[[#This Row],[Price ($)]]),AVERAGE(PRODUCT_DB[Price ($)])),0)</f>
        <v>70</v>
      </c>
      <c r="G8" s="9"/>
      <c r="H8" s="9" t="str">
        <f t="shared" si="0"/>
        <v>Unknown</v>
      </c>
      <c r="J8" s="11" t="s">
        <v>21</v>
      </c>
      <c r="K8" s="11" t="s">
        <v>22</v>
      </c>
      <c r="L8" s="11" t="s">
        <v>23</v>
      </c>
      <c r="M8" s="10">
        <v>20</v>
      </c>
      <c r="N8" s="10">
        <v>70</v>
      </c>
      <c r="O8" s="10" t="s">
        <v>116</v>
      </c>
      <c r="R8" s="11" t="s">
        <v>21</v>
      </c>
      <c r="S8" s="11" t="s">
        <v>22</v>
      </c>
      <c r="T8" s="11" t="s">
        <v>23</v>
      </c>
      <c r="U8" s="10">
        <v>20</v>
      </c>
      <c r="V8" s="10">
        <v>70</v>
      </c>
      <c r="W8" s="11" t="s">
        <v>116</v>
      </c>
      <c r="Z8" s="11" t="s">
        <v>21</v>
      </c>
      <c r="AA8" s="17">
        <v>46164</v>
      </c>
      <c r="AB8" s="12" t="s">
        <v>121</v>
      </c>
      <c r="AE8" s="11" t="s">
        <v>22</v>
      </c>
      <c r="AF8" s="11" t="s">
        <v>23</v>
      </c>
      <c r="AG8" s="11" t="str">
        <f>DB__217[[#This Row],[Product Name]]&amp;" "&amp;DB__217[[#This Row],[Brand Name]]</f>
        <v>Backpack North Face</v>
      </c>
      <c r="AJ8" s="18">
        <v>70</v>
      </c>
      <c r="AK8" s="15">
        <v>46164</v>
      </c>
      <c r="AN8" s="11" t="s">
        <v>21</v>
      </c>
      <c r="AO8" s="11" t="s">
        <v>22</v>
      </c>
      <c r="AP8" s="11" t="s">
        <v>23</v>
      </c>
      <c r="AQ8" s="10">
        <v>20</v>
      </c>
      <c r="AR8" s="18">
        <v>70</v>
      </c>
      <c r="AS8" s="11" t="s">
        <v>116</v>
      </c>
    </row>
    <row r="9" spans="1:45" ht="16.8" customHeight="1" x14ac:dyDescent="0.25">
      <c r="A9" s="8" t="s">
        <v>24</v>
      </c>
      <c r="B9" s="8" t="s">
        <v>25</v>
      </c>
      <c r="C9" s="8" t="s">
        <v>26</v>
      </c>
      <c r="D9" s="8">
        <v>45</v>
      </c>
      <c r="E9" s="9"/>
      <c r="F9" s="9">
        <f>ROUND(IFERROR(IF(ISBLANK(PRODUCT_DB[[#This Row],[Price ($)]]),AVERAGEIF(PRODUCT_DB[Product Name],PRODUCT_DB[[#This Row],[Product Name]],PRODUCT_DB[Price ($)]),PRODUCT_DB[[#This Row],[Price ($)]]),AVERAGE(PRODUCT_DB[Price ($)])),0)</f>
        <v>250</v>
      </c>
      <c r="G9" s="8" t="s">
        <v>9</v>
      </c>
      <c r="H9" s="8" t="str">
        <f t="shared" si="0"/>
        <v>Electronics</v>
      </c>
      <c r="J9" s="11" t="s">
        <v>24</v>
      </c>
      <c r="K9" s="11" t="s">
        <v>25</v>
      </c>
      <c r="L9" s="11" t="s">
        <v>26</v>
      </c>
      <c r="M9" s="10">
        <v>45</v>
      </c>
      <c r="N9" s="10">
        <v>250</v>
      </c>
      <c r="O9" s="10" t="s">
        <v>9</v>
      </c>
      <c r="R9" s="11" t="s">
        <v>24</v>
      </c>
      <c r="S9" s="11" t="s">
        <v>25</v>
      </c>
      <c r="T9" s="11" t="s">
        <v>26</v>
      </c>
      <c r="U9" s="10">
        <v>45</v>
      </c>
      <c r="V9" s="10">
        <v>250</v>
      </c>
      <c r="W9" s="11" t="s">
        <v>9</v>
      </c>
      <c r="Z9" s="11" t="s">
        <v>24</v>
      </c>
      <c r="AA9" s="17">
        <v>46180</v>
      </c>
      <c r="AB9" s="12" t="s">
        <v>122</v>
      </c>
      <c r="AE9" s="11" t="s">
        <v>25</v>
      </c>
      <c r="AF9" s="11" t="s">
        <v>26</v>
      </c>
      <c r="AG9" s="11" t="str">
        <f>DB__217[[#This Row],[Product Name]]&amp;" "&amp;DB__217[[#This Row],[Brand Name]]</f>
        <v>Headphones Sony</v>
      </c>
      <c r="AJ9" s="18">
        <v>250</v>
      </c>
      <c r="AK9" s="15">
        <v>46180</v>
      </c>
      <c r="AN9" s="11" t="s">
        <v>24</v>
      </c>
      <c r="AO9" s="11" t="s">
        <v>25</v>
      </c>
      <c r="AP9" s="11" t="s">
        <v>26</v>
      </c>
      <c r="AQ9" s="10">
        <v>45</v>
      </c>
      <c r="AR9" s="18">
        <v>250</v>
      </c>
      <c r="AS9" s="11" t="s">
        <v>9</v>
      </c>
    </row>
    <row r="10" spans="1:45" ht="16.8" customHeight="1" x14ac:dyDescent="0.25">
      <c r="A10" s="7" t="s">
        <v>27</v>
      </c>
      <c r="B10" s="7" t="s">
        <v>28</v>
      </c>
      <c r="C10" s="7" t="s">
        <v>29</v>
      </c>
      <c r="D10" s="7">
        <v>5</v>
      </c>
      <c r="E10" s="7">
        <v>30</v>
      </c>
      <c r="F10" s="7">
        <f>ROUND(IFERROR(IF(ISBLANK(PRODUCT_DB[[#This Row],[Price ($)]]),AVERAGEIF(PRODUCT_DB[Product Name],PRODUCT_DB[[#This Row],[Product Name]],PRODUCT_DB[Price ($)]),PRODUCT_DB[[#This Row],[Price ($)]]),AVERAGE(PRODUCT_DB[Price ($)])),0)</f>
        <v>30</v>
      </c>
      <c r="G10" s="7" t="s">
        <v>13</v>
      </c>
      <c r="H10" s="8" t="str">
        <f t="shared" si="0"/>
        <v>Fashion</v>
      </c>
      <c r="J10" s="11" t="s">
        <v>27</v>
      </c>
      <c r="K10" s="11" t="s">
        <v>28</v>
      </c>
      <c r="L10" s="11" t="s">
        <v>29</v>
      </c>
      <c r="M10" s="10">
        <v>5</v>
      </c>
      <c r="N10" s="10">
        <v>30</v>
      </c>
      <c r="O10" s="10" t="s">
        <v>13</v>
      </c>
      <c r="R10" s="11" t="s">
        <v>27</v>
      </c>
      <c r="S10" s="11" t="s">
        <v>28</v>
      </c>
      <c r="T10" s="11" t="s">
        <v>29</v>
      </c>
      <c r="U10" s="10">
        <v>5</v>
      </c>
      <c r="V10" s="10">
        <v>30</v>
      </c>
      <c r="W10" s="11" t="s">
        <v>13</v>
      </c>
      <c r="Z10" s="11" t="s">
        <v>27</v>
      </c>
      <c r="AA10" s="17">
        <v>46222</v>
      </c>
      <c r="AB10" s="12" t="s">
        <v>122</v>
      </c>
      <c r="AE10" s="11" t="s">
        <v>28</v>
      </c>
      <c r="AF10" s="11" t="s">
        <v>29</v>
      </c>
      <c r="AG10" s="11" t="str">
        <f>DB__217[[#This Row],[Product Name]]&amp;" "&amp;DB__217[[#This Row],[Brand Name]]</f>
        <v>T-shirt Adidas</v>
      </c>
      <c r="AJ10" s="18">
        <v>30</v>
      </c>
      <c r="AK10" s="15">
        <v>46222</v>
      </c>
      <c r="AN10" s="11" t="s">
        <v>27</v>
      </c>
      <c r="AO10" s="11" t="s">
        <v>28</v>
      </c>
      <c r="AP10" s="11" t="s">
        <v>29</v>
      </c>
      <c r="AQ10" s="10">
        <v>5</v>
      </c>
      <c r="AR10" s="18">
        <v>30</v>
      </c>
      <c r="AS10" s="11" t="s">
        <v>13</v>
      </c>
    </row>
    <row r="11" spans="1:45" ht="16.8" customHeight="1" x14ac:dyDescent="0.25">
      <c r="A11" s="8" t="s">
        <v>30</v>
      </c>
      <c r="B11" s="8" t="s">
        <v>31</v>
      </c>
      <c r="C11" s="8" t="s">
        <v>32</v>
      </c>
      <c r="D11" s="8">
        <v>35</v>
      </c>
      <c r="E11" s="8">
        <v>90</v>
      </c>
      <c r="F11" s="8">
        <f>ROUND(IFERROR(IF(ISBLANK(PRODUCT_DB[[#This Row],[Price ($)]]),AVERAGEIF(PRODUCT_DB[Product Name],PRODUCT_DB[[#This Row],[Product Name]],PRODUCT_DB[Price ($)]),PRODUCT_DB[[#This Row],[Price ($)]]),AVERAGE(PRODUCT_DB[Price ($)])),0)</f>
        <v>90</v>
      </c>
      <c r="G11" s="8" t="s">
        <v>17</v>
      </c>
      <c r="H11" s="8" t="str">
        <f t="shared" si="0"/>
        <v>Kitchen</v>
      </c>
      <c r="J11" s="11" t="s">
        <v>30</v>
      </c>
      <c r="K11" s="11" t="s">
        <v>31</v>
      </c>
      <c r="L11" s="11" t="s">
        <v>32</v>
      </c>
      <c r="M11" s="10">
        <v>35</v>
      </c>
      <c r="N11" s="10">
        <v>90</v>
      </c>
      <c r="O11" s="10" t="s">
        <v>17</v>
      </c>
      <c r="R11" s="11" t="s">
        <v>30</v>
      </c>
      <c r="S11" s="11" t="s">
        <v>31</v>
      </c>
      <c r="T11" s="11" t="s">
        <v>32</v>
      </c>
      <c r="U11" s="10">
        <v>35</v>
      </c>
      <c r="V11" s="10">
        <v>90</v>
      </c>
      <c r="W11" s="11" t="s">
        <v>17</v>
      </c>
      <c r="Z11" s="11" t="s">
        <v>30</v>
      </c>
      <c r="AA11" s="17">
        <v>46257</v>
      </c>
      <c r="AB11" s="12" t="s">
        <v>122</v>
      </c>
      <c r="AE11" s="11" t="s">
        <v>31</v>
      </c>
      <c r="AF11" s="11" t="s">
        <v>32</v>
      </c>
      <c r="AG11" s="11" t="str">
        <f>DB__217[[#This Row],[Product Name]]&amp;" "&amp;DB__217[[#This Row],[Brand Name]]</f>
        <v>Blender Ninja</v>
      </c>
      <c r="AJ11" s="18">
        <v>90</v>
      </c>
      <c r="AK11" s="15">
        <v>46257</v>
      </c>
      <c r="AN11" s="11" t="s">
        <v>30</v>
      </c>
      <c r="AO11" s="11" t="s">
        <v>31</v>
      </c>
      <c r="AP11" s="11" t="s">
        <v>32</v>
      </c>
      <c r="AQ11" s="10">
        <v>35</v>
      </c>
      <c r="AR11" s="18">
        <v>90</v>
      </c>
      <c r="AS11" s="11" t="s">
        <v>17</v>
      </c>
    </row>
    <row r="12" spans="1:45" ht="16.8" customHeight="1" x14ac:dyDescent="0.25">
      <c r="A12" s="7" t="s">
        <v>33</v>
      </c>
      <c r="B12" s="7" t="s">
        <v>34</v>
      </c>
      <c r="C12" s="7" t="s">
        <v>35</v>
      </c>
      <c r="D12" s="7">
        <v>50</v>
      </c>
      <c r="E12" s="7">
        <v>500</v>
      </c>
      <c r="F12" s="7">
        <f>ROUND(IFERROR(IF(ISBLANK(PRODUCT_DB[[#This Row],[Price ($)]]),AVERAGEIF(PRODUCT_DB[Product Name],PRODUCT_DB[[#This Row],[Product Name]],PRODUCT_DB[Price ($)]),PRODUCT_DB[[#This Row],[Price ($)]]),AVERAGE(PRODUCT_DB[Price ($)])),0)</f>
        <v>500</v>
      </c>
      <c r="G12" s="7" t="s">
        <v>9</v>
      </c>
      <c r="H12" s="8" t="str">
        <f t="shared" si="0"/>
        <v>Electronics</v>
      </c>
      <c r="J12" s="11" t="s">
        <v>33</v>
      </c>
      <c r="K12" s="11" t="s">
        <v>34</v>
      </c>
      <c r="L12" s="11" t="s">
        <v>35</v>
      </c>
      <c r="M12" s="10">
        <v>50</v>
      </c>
      <c r="N12" s="10">
        <v>500</v>
      </c>
      <c r="O12" s="10" t="s">
        <v>9</v>
      </c>
      <c r="R12" s="11" t="s">
        <v>33</v>
      </c>
      <c r="S12" s="11" t="s">
        <v>34</v>
      </c>
      <c r="T12" s="11" t="s">
        <v>35</v>
      </c>
      <c r="U12" s="10">
        <v>50</v>
      </c>
      <c r="V12" s="10">
        <v>500</v>
      </c>
      <c r="W12" s="11" t="s">
        <v>9</v>
      </c>
      <c r="Z12" s="11" t="s">
        <v>33</v>
      </c>
      <c r="AA12" s="17">
        <v>46270</v>
      </c>
      <c r="AB12" s="12" t="s">
        <v>122</v>
      </c>
      <c r="AE12" s="11" t="s">
        <v>34</v>
      </c>
      <c r="AF12" s="11" t="s">
        <v>35</v>
      </c>
      <c r="AG12" s="11" t="str">
        <f>DB__217[[#This Row],[Product Name]]&amp;" "&amp;DB__217[[#This Row],[Brand Name]]</f>
        <v>Tablet Apple</v>
      </c>
      <c r="AJ12" s="18">
        <v>500</v>
      </c>
      <c r="AK12" s="15">
        <v>46270</v>
      </c>
      <c r="AN12" s="11" t="s">
        <v>33</v>
      </c>
      <c r="AO12" s="11" t="s">
        <v>34</v>
      </c>
      <c r="AP12" s="11" t="s">
        <v>35</v>
      </c>
      <c r="AQ12" s="10">
        <v>50</v>
      </c>
      <c r="AR12" s="18">
        <v>500</v>
      </c>
      <c r="AS12" s="11" t="s">
        <v>9</v>
      </c>
    </row>
    <row r="13" spans="1:45" ht="16.8" customHeight="1" x14ac:dyDescent="0.25">
      <c r="A13" s="8" t="s">
        <v>36</v>
      </c>
      <c r="B13" s="8" t="s">
        <v>37</v>
      </c>
      <c r="C13" s="8" t="s">
        <v>38</v>
      </c>
      <c r="D13" s="8">
        <v>10</v>
      </c>
      <c r="E13" s="8">
        <v>130</v>
      </c>
      <c r="F13" s="8">
        <f>ROUND(IFERROR(IF(ISBLANK(PRODUCT_DB[[#This Row],[Price ($)]]),AVERAGEIF(PRODUCT_DB[Product Name],PRODUCT_DB[[#This Row],[Product Name]],PRODUCT_DB[Price ($)]),PRODUCT_DB[[#This Row],[Price ($)]]),AVERAGE(PRODUCT_DB[Price ($)])),0)</f>
        <v>130</v>
      </c>
      <c r="G13" s="8" t="s">
        <v>39</v>
      </c>
      <c r="H13" s="8" t="str">
        <f t="shared" si="0"/>
        <v>Outdoor</v>
      </c>
      <c r="J13" s="11" t="s">
        <v>36</v>
      </c>
      <c r="K13" s="11" t="s">
        <v>37</v>
      </c>
      <c r="L13" s="11" t="s">
        <v>38</v>
      </c>
      <c r="M13" s="10">
        <v>10</v>
      </c>
      <c r="N13" s="10">
        <v>130</v>
      </c>
      <c r="O13" s="10" t="s">
        <v>39</v>
      </c>
      <c r="R13" s="11" t="s">
        <v>36</v>
      </c>
      <c r="S13" s="11" t="s">
        <v>37</v>
      </c>
      <c r="T13" s="11" t="s">
        <v>38</v>
      </c>
      <c r="U13" s="10">
        <v>10</v>
      </c>
      <c r="V13" s="10">
        <v>130</v>
      </c>
      <c r="W13" s="11" t="s">
        <v>39</v>
      </c>
      <c r="Z13" s="11" t="s">
        <v>36</v>
      </c>
      <c r="AA13" s="17">
        <v>46309</v>
      </c>
      <c r="AB13" s="12" t="s">
        <v>122</v>
      </c>
      <c r="AE13" s="11" t="s">
        <v>37</v>
      </c>
      <c r="AF13" s="11" t="s">
        <v>38</v>
      </c>
      <c r="AG13" s="11" t="str">
        <f>DB__217[[#This Row],[Product Name]]&amp;" "&amp;DB__217[[#This Row],[Brand Name]]</f>
        <v>Hiking Boots Timberland</v>
      </c>
      <c r="AJ13" s="18">
        <v>130</v>
      </c>
      <c r="AK13" s="15">
        <v>46309</v>
      </c>
      <c r="AN13" s="11" t="s">
        <v>36</v>
      </c>
      <c r="AO13" s="11" t="s">
        <v>37</v>
      </c>
      <c r="AP13" s="11" t="s">
        <v>38</v>
      </c>
      <c r="AQ13" s="10">
        <v>10</v>
      </c>
      <c r="AR13" s="18">
        <v>130</v>
      </c>
      <c r="AS13" s="11" t="s">
        <v>39</v>
      </c>
    </row>
    <row r="14" spans="1:45" ht="16.8" customHeight="1" x14ac:dyDescent="0.25">
      <c r="A14" s="7" t="s">
        <v>40</v>
      </c>
      <c r="B14" s="7" t="s">
        <v>41</v>
      </c>
      <c r="C14" s="7" t="s">
        <v>42</v>
      </c>
      <c r="D14" s="7">
        <v>25</v>
      </c>
      <c r="E14" s="7">
        <v>950</v>
      </c>
      <c r="F14" s="7">
        <f>ROUND(IFERROR(IF(ISBLANK(PRODUCT_DB[[#This Row],[Price ($)]]),AVERAGEIF(PRODUCT_DB[Product Name],PRODUCT_DB[[#This Row],[Product Name]],PRODUCT_DB[Price ($)]),PRODUCT_DB[[#This Row],[Price ($)]]),AVERAGE(PRODUCT_DB[Price ($)])),0)</f>
        <v>950</v>
      </c>
      <c r="G14" s="7" t="s">
        <v>9</v>
      </c>
      <c r="H14" s="8" t="str">
        <f t="shared" si="0"/>
        <v>Electronics</v>
      </c>
      <c r="J14" s="11" t="s">
        <v>40</v>
      </c>
      <c r="K14" s="11" t="s">
        <v>41</v>
      </c>
      <c r="L14" s="11" t="s">
        <v>42</v>
      </c>
      <c r="M14" s="10">
        <v>25</v>
      </c>
      <c r="N14" s="10">
        <v>950</v>
      </c>
      <c r="O14" s="10" t="s">
        <v>9</v>
      </c>
      <c r="R14" s="11" t="s">
        <v>40</v>
      </c>
      <c r="S14" s="11" t="s">
        <v>41</v>
      </c>
      <c r="T14" s="11" t="s">
        <v>42</v>
      </c>
      <c r="U14" s="10">
        <v>25</v>
      </c>
      <c r="V14" s="10">
        <v>950</v>
      </c>
      <c r="W14" s="11" t="s">
        <v>9</v>
      </c>
      <c r="Z14" s="11" t="s">
        <v>40</v>
      </c>
      <c r="AA14" s="17">
        <v>46190</v>
      </c>
      <c r="AB14" s="12" t="s">
        <v>123</v>
      </c>
      <c r="AE14" s="11" t="s">
        <v>41</v>
      </c>
      <c r="AF14" s="11" t="s">
        <v>42</v>
      </c>
      <c r="AG14" s="11" t="str">
        <f>DB__217[[#This Row],[Product Name]]&amp;" "&amp;DB__217[[#This Row],[Brand Name]]</f>
        <v>Laptop HP</v>
      </c>
      <c r="AJ14" s="18">
        <v>950</v>
      </c>
      <c r="AK14" s="15">
        <v>46190</v>
      </c>
      <c r="AN14" s="11" t="s">
        <v>40</v>
      </c>
      <c r="AO14" s="11" t="s">
        <v>41</v>
      </c>
      <c r="AP14" s="11" t="s">
        <v>42</v>
      </c>
      <c r="AQ14" s="10">
        <v>25</v>
      </c>
      <c r="AR14" s="18">
        <v>950</v>
      </c>
      <c r="AS14" s="11" t="s">
        <v>9</v>
      </c>
    </row>
    <row r="15" spans="1:45" ht="16.8" customHeight="1" x14ac:dyDescent="0.25">
      <c r="A15" s="8" t="s">
        <v>43</v>
      </c>
      <c r="B15" s="8" t="s">
        <v>11</v>
      </c>
      <c r="C15" s="8" t="s">
        <v>29</v>
      </c>
      <c r="D15" s="8">
        <v>40</v>
      </c>
      <c r="E15" s="8">
        <v>90</v>
      </c>
      <c r="F15" s="8">
        <f>ROUND(IFERROR(IF(ISBLANK(PRODUCT_DB[[#This Row],[Price ($)]]),AVERAGEIF(PRODUCT_DB[Product Name],PRODUCT_DB[[#This Row],[Product Name]],PRODUCT_DB[Price ($)]),PRODUCT_DB[[#This Row],[Price ($)]]),AVERAGE(PRODUCT_DB[Price ($)])),0)</f>
        <v>90</v>
      </c>
      <c r="G15" s="9"/>
      <c r="H15" s="9" t="str">
        <f t="shared" si="0"/>
        <v>Fashion</v>
      </c>
      <c r="J15" s="11" t="s">
        <v>43</v>
      </c>
      <c r="K15" s="11" t="s">
        <v>11</v>
      </c>
      <c r="L15" s="11" t="s">
        <v>29</v>
      </c>
      <c r="M15" s="10">
        <v>40</v>
      </c>
      <c r="N15" s="10">
        <v>90</v>
      </c>
      <c r="O15" s="10" t="s">
        <v>13</v>
      </c>
      <c r="R15" s="11" t="s">
        <v>43</v>
      </c>
      <c r="S15" s="11" t="s">
        <v>11</v>
      </c>
      <c r="T15" s="11" t="s">
        <v>29</v>
      </c>
      <c r="U15" s="10">
        <v>40</v>
      </c>
      <c r="V15" s="10">
        <v>90</v>
      </c>
      <c r="W15" s="11" t="s">
        <v>13</v>
      </c>
      <c r="Z15" s="11" t="s">
        <v>43</v>
      </c>
      <c r="AA15" s="17">
        <v>46351</v>
      </c>
      <c r="AB15" s="12" t="s">
        <v>124</v>
      </c>
      <c r="AE15" s="11" t="s">
        <v>11</v>
      </c>
      <c r="AF15" s="11" t="s">
        <v>29</v>
      </c>
      <c r="AG15" s="11" t="str">
        <f>DB__217[[#This Row],[Product Name]]&amp;" "&amp;DB__217[[#This Row],[Brand Name]]</f>
        <v>Sneakers Adidas</v>
      </c>
      <c r="AJ15" s="18">
        <v>90</v>
      </c>
      <c r="AK15" s="15">
        <v>46351</v>
      </c>
      <c r="AN15" s="11" t="s">
        <v>43</v>
      </c>
      <c r="AO15" s="11" t="s">
        <v>11</v>
      </c>
      <c r="AP15" s="11" t="s">
        <v>29</v>
      </c>
      <c r="AQ15" s="10">
        <v>40</v>
      </c>
      <c r="AR15" s="18">
        <v>90</v>
      </c>
      <c r="AS15" s="11" t="s">
        <v>13</v>
      </c>
    </row>
    <row r="16" spans="1:45" ht="16.8" customHeight="1" x14ac:dyDescent="0.25">
      <c r="A16" s="7" t="s">
        <v>44</v>
      </c>
      <c r="B16" s="7" t="s">
        <v>15</v>
      </c>
      <c r="C16" s="7" t="s">
        <v>45</v>
      </c>
      <c r="D16" s="7">
        <v>35</v>
      </c>
      <c r="E16" s="7">
        <v>120</v>
      </c>
      <c r="F16" s="7">
        <f>ROUND(IFERROR(IF(ISBLANK(PRODUCT_DB[[#This Row],[Price ($)]]),AVERAGEIF(PRODUCT_DB[Product Name],PRODUCT_DB[[#This Row],[Product Name]],PRODUCT_DB[Price ($)]),PRODUCT_DB[[#This Row],[Price ($)]]),AVERAGE(PRODUCT_DB[Price ($)])),0)</f>
        <v>120</v>
      </c>
      <c r="G16" s="9"/>
      <c r="H16" s="9" t="str">
        <f t="shared" si="0"/>
        <v>Kitchen</v>
      </c>
      <c r="J16" s="11" t="s">
        <v>44</v>
      </c>
      <c r="K16" s="11" t="s">
        <v>15</v>
      </c>
      <c r="L16" s="11" t="s">
        <v>45</v>
      </c>
      <c r="M16" s="10">
        <v>35</v>
      </c>
      <c r="N16" s="10">
        <v>120</v>
      </c>
      <c r="O16" s="10" t="s">
        <v>17</v>
      </c>
      <c r="R16" s="11" t="s">
        <v>44</v>
      </c>
      <c r="S16" s="11" t="s">
        <v>15</v>
      </c>
      <c r="T16" s="11" t="s">
        <v>45</v>
      </c>
      <c r="U16" s="10">
        <v>35</v>
      </c>
      <c r="V16" s="10">
        <v>120</v>
      </c>
      <c r="W16" s="11" t="s">
        <v>17</v>
      </c>
      <c r="Z16" s="11" t="s">
        <v>44</v>
      </c>
      <c r="AA16" s="17">
        <v>46364</v>
      </c>
      <c r="AB16" s="12" t="s">
        <v>125</v>
      </c>
      <c r="AE16" s="11" t="s">
        <v>15</v>
      </c>
      <c r="AF16" s="11" t="s">
        <v>45</v>
      </c>
      <c r="AG16" s="11" t="str">
        <f>DB__217[[#This Row],[Product Name]]&amp;" "&amp;DB__217[[#This Row],[Brand Name]]</f>
        <v>Coffee Maker Nespresso</v>
      </c>
      <c r="AJ16" s="18">
        <v>120</v>
      </c>
      <c r="AK16" s="15">
        <v>46364</v>
      </c>
      <c r="AN16" s="11" t="s">
        <v>44</v>
      </c>
      <c r="AO16" s="11" t="s">
        <v>15</v>
      </c>
      <c r="AP16" s="11" t="s">
        <v>45</v>
      </c>
      <c r="AQ16" s="10">
        <v>35</v>
      </c>
      <c r="AR16" s="18">
        <v>120</v>
      </c>
      <c r="AS16" s="11" t="s">
        <v>17</v>
      </c>
    </row>
    <row r="17" spans="1:45" ht="16.8" customHeight="1" x14ac:dyDescent="0.25">
      <c r="A17" s="8" t="s">
        <v>46</v>
      </c>
      <c r="B17" s="8" t="s">
        <v>47</v>
      </c>
      <c r="C17" s="8" t="s">
        <v>48</v>
      </c>
      <c r="D17" s="8">
        <v>15</v>
      </c>
      <c r="E17" s="8">
        <v>150</v>
      </c>
      <c r="F17" s="8">
        <f>ROUND(IFERROR(IF(ISBLANK(PRODUCT_DB[[#This Row],[Price ($)]]),AVERAGEIF(PRODUCT_DB[Product Name],PRODUCT_DB[[#This Row],[Product Name]],PRODUCT_DB[Price ($)]),PRODUCT_DB[[#This Row],[Price ($)]]),AVERAGE(PRODUCT_DB[Price ($)])),0)</f>
        <v>150</v>
      </c>
      <c r="G17" s="8" t="s">
        <v>9</v>
      </c>
      <c r="H17" s="8" t="str">
        <f t="shared" si="0"/>
        <v>Electronics</v>
      </c>
      <c r="J17" s="11" t="s">
        <v>46</v>
      </c>
      <c r="K17" s="11" t="s">
        <v>47</v>
      </c>
      <c r="L17" s="11" t="s">
        <v>48</v>
      </c>
      <c r="M17" s="10">
        <v>15</v>
      </c>
      <c r="N17" s="10">
        <v>150</v>
      </c>
      <c r="O17" s="10" t="s">
        <v>9</v>
      </c>
      <c r="R17" s="11" t="s">
        <v>46</v>
      </c>
      <c r="S17" s="11" t="s">
        <v>47</v>
      </c>
      <c r="T17" s="11" t="s">
        <v>48</v>
      </c>
      <c r="U17" s="10">
        <v>15</v>
      </c>
      <c r="V17" s="10">
        <v>150</v>
      </c>
      <c r="W17" s="11" t="s">
        <v>9</v>
      </c>
      <c r="Z17" s="11" t="s">
        <v>46</v>
      </c>
      <c r="AA17" s="17">
        <v>46071</v>
      </c>
      <c r="AB17" s="12" t="s">
        <v>126</v>
      </c>
      <c r="AE17" s="11" t="s">
        <v>47</v>
      </c>
      <c r="AF17" s="11" t="s">
        <v>48</v>
      </c>
      <c r="AG17" s="11" t="str">
        <f>DB__217[[#This Row],[Product Name]]&amp;" "&amp;DB__217[[#This Row],[Brand Name]]</f>
        <v>Smartwatch Fitbit</v>
      </c>
      <c r="AJ17" s="18">
        <v>150</v>
      </c>
      <c r="AK17" s="15">
        <v>46071</v>
      </c>
      <c r="AN17" s="11" t="s">
        <v>46</v>
      </c>
      <c r="AO17" s="11" t="s">
        <v>47</v>
      </c>
      <c r="AP17" s="11" t="s">
        <v>48</v>
      </c>
      <c r="AQ17" s="10">
        <v>15</v>
      </c>
      <c r="AR17" s="18">
        <v>150</v>
      </c>
      <c r="AS17" s="11" t="s">
        <v>9</v>
      </c>
    </row>
    <row r="18" spans="1:45" ht="16.8" customHeight="1" x14ac:dyDescent="0.25">
      <c r="A18" s="7" t="s">
        <v>49</v>
      </c>
      <c r="B18" s="7" t="s">
        <v>50</v>
      </c>
      <c r="C18" s="7" t="s">
        <v>51</v>
      </c>
      <c r="D18" s="7">
        <v>20</v>
      </c>
      <c r="E18" s="7">
        <v>250</v>
      </c>
      <c r="F18" s="7">
        <f>ROUND(IFERROR(IF(ISBLANK(PRODUCT_DB[[#This Row],[Price ($)]]),AVERAGEIF(PRODUCT_DB[Product Name],PRODUCT_DB[[#This Row],[Product Name]],PRODUCT_DB[Price ($)]),PRODUCT_DB[[#This Row],[Price ($)]]),AVERAGE(PRODUCT_DB[Price ($)])),0)</f>
        <v>250</v>
      </c>
      <c r="G18" s="7" t="s">
        <v>9</v>
      </c>
      <c r="H18" s="8" t="str">
        <f t="shared" si="0"/>
        <v>Electronics</v>
      </c>
      <c r="J18" s="11" t="s">
        <v>49</v>
      </c>
      <c r="K18" s="11" t="s">
        <v>50</v>
      </c>
      <c r="L18" s="11" t="s">
        <v>51</v>
      </c>
      <c r="M18" s="10">
        <v>20</v>
      </c>
      <c r="N18" s="10">
        <v>250</v>
      </c>
      <c r="O18" s="10" t="s">
        <v>9</v>
      </c>
      <c r="R18" s="11" t="s">
        <v>49</v>
      </c>
      <c r="S18" s="11" t="s">
        <v>50</v>
      </c>
      <c r="T18" s="11" t="s">
        <v>51</v>
      </c>
      <c r="U18" s="10">
        <v>20</v>
      </c>
      <c r="V18" s="10">
        <v>250</v>
      </c>
      <c r="W18" s="11" t="s">
        <v>9</v>
      </c>
      <c r="Z18" s="11" t="s">
        <v>49</v>
      </c>
      <c r="AA18" s="17">
        <v>46128</v>
      </c>
      <c r="AB18" s="12" t="s">
        <v>127</v>
      </c>
      <c r="AE18" s="11" t="s">
        <v>50</v>
      </c>
      <c r="AF18" s="11" t="s">
        <v>51</v>
      </c>
      <c r="AG18" s="11" t="str">
        <f>DB__217[[#This Row],[Product Name]]&amp;" "&amp;DB__217[[#This Row],[Brand Name]]</f>
        <v>headphones Bose</v>
      </c>
      <c r="AJ18" s="18">
        <v>250</v>
      </c>
      <c r="AK18" s="15">
        <v>46128</v>
      </c>
      <c r="AN18" s="11" t="s">
        <v>49</v>
      </c>
      <c r="AO18" s="11" t="s">
        <v>50</v>
      </c>
      <c r="AP18" s="11" t="s">
        <v>51</v>
      </c>
      <c r="AQ18" s="10">
        <v>20</v>
      </c>
      <c r="AR18" s="18">
        <v>250</v>
      </c>
      <c r="AS18" s="11" t="s">
        <v>9</v>
      </c>
    </row>
    <row r="19" spans="1:45" ht="16.8" customHeight="1" x14ac:dyDescent="0.25">
      <c r="A19" s="8" t="s">
        <v>52</v>
      </c>
      <c r="B19" s="8" t="s">
        <v>53</v>
      </c>
      <c r="C19" s="8" t="s">
        <v>54</v>
      </c>
      <c r="D19" s="8">
        <v>35</v>
      </c>
      <c r="E19" s="8">
        <v>50</v>
      </c>
      <c r="F19" s="8">
        <f>ROUND(IFERROR(IF(ISBLANK(PRODUCT_DB[[#This Row],[Price ($)]]),AVERAGEIF(PRODUCT_DB[Product Name],PRODUCT_DB[[#This Row],[Product Name]],PRODUCT_DB[Price ($)]),PRODUCT_DB[[#This Row],[Price ($)]]),AVERAGE(PRODUCT_DB[Price ($)])),0)</f>
        <v>50</v>
      </c>
      <c r="G19" s="8" t="s">
        <v>55</v>
      </c>
      <c r="H19" s="8" t="str">
        <f t="shared" si="0"/>
        <v>Accessories</v>
      </c>
      <c r="J19" s="11" t="s">
        <v>52</v>
      </c>
      <c r="K19" s="11" t="s">
        <v>53</v>
      </c>
      <c r="L19" s="11" t="s">
        <v>54</v>
      </c>
      <c r="M19" s="10">
        <v>35</v>
      </c>
      <c r="N19" s="10">
        <v>50</v>
      </c>
      <c r="O19" s="10" t="s">
        <v>55</v>
      </c>
      <c r="R19" s="11" t="s">
        <v>52</v>
      </c>
      <c r="S19" s="11" t="s">
        <v>53</v>
      </c>
      <c r="T19" s="11" t="s">
        <v>54</v>
      </c>
      <c r="U19" s="10">
        <v>35</v>
      </c>
      <c r="V19" s="10">
        <v>50</v>
      </c>
      <c r="W19" s="11" t="s">
        <v>55</v>
      </c>
      <c r="Z19" s="11" t="s">
        <v>52</v>
      </c>
      <c r="AA19" s="17">
        <v>46255</v>
      </c>
      <c r="AB19" s="12" t="s">
        <v>126</v>
      </c>
      <c r="AE19" s="11" t="s">
        <v>53</v>
      </c>
      <c r="AF19" s="11" t="s">
        <v>54</v>
      </c>
      <c r="AG19" s="11" t="str">
        <f>DB__217[[#This Row],[Product Name]]&amp;" "&amp;DB__217[[#This Row],[Brand Name]]</f>
        <v>Laptop Bag Samsonite</v>
      </c>
      <c r="AJ19" s="18">
        <v>50</v>
      </c>
      <c r="AK19" s="15">
        <v>46255</v>
      </c>
      <c r="AN19" s="11" t="s">
        <v>52</v>
      </c>
      <c r="AO19" s="11" t="s">
        <v>53</v>
      </c>
      <c r="AP19" s="11" t="s">
        <v>54</v>
      </c>
      <c r="AQ19" s="10">
        <v>35</v>
      </c>
      <c r="AR19" s="18">
        <v>50</v>
      </c>
      <c r="AS19" s="11" t="s">
        <v>55</v>
      </c>
    </row>
    <row r="20" spans="1:45" ht="16.8" customHeight="1" x14ac:dyDescent="0.25">
      <c r="A20" s="7" t="s">
        <v>56</v>
      </c>
      <c r="B20" s="7" t="s">
        <v>47</v>
      </c>
      <c r="C20" s="7" t="s">
        <v>57</v>
      </c>
      <c r="D20" s="7">
        <v>15</v>
      </c>
      <c r="E20" s="7">
        <v>160</v>
      </c>
      <c r="F20" s="7">
        <f>ROUND(IFERROR(IF(ISBLANK(PRODUCT_DB[[#This Row],[Price ($)]]),AVERAGEIF(PRODUCT_DB[Product Name],PRODUCT_DB[[#This Row],[Product Name]],PRODUCT_DB[Price ($)]),PRODUCT_DB[[#This Row],[Price ($)]]),AVERAGE(PRODUCT_DB[Price ($)])),0)</f>
        <v>160</v>
      </c>
      <c r="G20" s="7" t="s">
        <v>9</v>
      </c>
      <c r="H20" s="8" t="str">
        <f t="shared" si="0"/>
        <v>Electronics</v>
      </c>
      <c r="J20" s="11" t="s">
        <v>56</v>
      </c>
      <c r="K20" s="11" t="s">
        <v>47</v>
      </c>
      <c r="L20" s="11" t="s">
        <v>57</v>
      </c>
      <c r="M20" s="10">
        <v>15</v>
      </c>
      <c r="N20" s="10">
        <v>160</v>
      </c>
      <c r="O20" s="10" t="s">
        <v>9</v>
      </c>
      <c r="R20" s="11" t="s">
        <v>56</v>
      </c>
      <c r="S20" s="11" t="s">
        <v>47</v>
      </c>
      <c r="T20" s="11" t="s">
        <v>57</v>
      </c>
      <c r="U20" s="10">
        <v>15</v>
      </c>
      <c r="V20" s="10">
        <v>160</v>
      </c>
      <c r="W20" s="11" t="s">
        <v>9</v>
      </c>
      <c r="Z20" s="11" t="s">
        <v>56</v>
      </c>
      <c r="AA20" s="17">
        <v>46254</v>
      </c>
      <c r="AB20" s="12" t="s">
        <v>128</v>
      </c>
      <c r="AE20" s="11" t="s">
        <v>47</v>
      </c>
      <c r="AF20" s="11" t="s">
        <v>57</v>
      </c>
      <c r="AG20" s="11" t="str">
        <f>DB__217[[#This Row],[Product Name]]&amp;" "&amp;DB__217[[#This Row],[Brand Name]]</f>
        <v>Smartwatch Huawei</v>
      </c>
      <c r="AJ20" s="18">
        <v>160</v>
      </c>
      <c r="AK20" s="15">
        <v>46254</v>
      </c>
      <c r="AN20" s="11" t="s">
        <v>56</v>
      </c>
      <c r="AO20" s="11" t="s">
        <v>47</v>
      </c>
      <c r="AP20" s="11" t="s">
        <v>57</v>
      </c>
      <c r="AQ20" s="10">
        <v>15</v>
      </c>
      <c r="AR20" s="18">
        <v>160</v>
      </c>
      <c r="AS20" s="11" t="s">
        <v>9</v>
      </c>
    </row>
    <row r="21" spans="1:45" ht="16.8" customHeight="1" x14ac:dyDescent="0.25">
      <c r="A21" s="8" t="s">
        <v>58</v>
      </c>
      <c r="B21" s="8" t="s">
        <v>7</v>
      </c>
      <c r="C21" s="8" t="s">
        <v>59</v>
      </c>
      <c r="D21" s="8">
        <v>10</v>
      </c>
      <c r="E21" s="8">
        <v>980</v>
      </c>
      <c r="F21" s="8">
        <f>ROUND(IFERROR(IF(ISBLANK(PRODUCT_DB[[#This Row],[Price ($)]]),AVERAGEIF(PRODUCT_DB[Product Name],PRODUCT_DB[[#This Row],[Product Name]],PRODUCT_DB[Price ($)]),PRODUCT_DB[[#This Row],[Price ($)]]),AVERAGE(PRODUCT_DB[Price ($)])),0)</f>
        <v>980</v>
      </c>
      <c r="G21" s="8" t="s">
        <v>9</v>
      </c>
      <c r="H21" s="8" t="str">
        <f t="shared" si="0"/>
        <v>Electronics</v>
      </c>
      <c r="J21" s="11" t="s">
        <v>58</v>
      </c>
      <c r="K21" s="11" t="s">
        <v>41</v>
      </c>
      <c r="L21" s="11" t="s">
        <v>59</v>
      </c>
      <c r="M21" s="10">
        <v>10</v>
      </c>
      <c r="N21" s="10">
        <v>980</v>
      </c>
      <c r="O21" s="10" t="s">
        <v>9</v>
      </c>
      <c r="R21" s="11" t="s">
        <v>58</v>
      </c>
      <c r="S21" s="11" t="s">
        <v>41</v>
      </c>
      <c r="T21" s="11" t="s">
        <v>59</v>
      </c>
      <c r="U21" s="10">
        <v>10</v>
      </c>
      <c r="V21" s="10">
        <v>980</v>
      </c>
      <c r="W21" s="11" t="s">
        <v>9</v>
      </c>
      <c r="Z21" s="11" t="s">
        <v>58</v>
      </c>
      <c r="AA21" s="17">
        <v>46049</v>
      </c>
      <c r="AB21" s="12" t="s">
        <v>129</v>
      </c>
      <c r="AE21" s="11" t="s">
        <v>41</v>
      </c>
      <c r="AF21" s="11" t="s">
        <v>59</v>
      </c>
      <c r="AG21" s="11" t="str">
        <f>DB__217[[#This Row],[Product Name]]&amp;" "&amp;DB__217[[#This Row],[Brand Name]]</f>
        <v>Laptop Asus</v>
      </c>
      <c r="AJ21" s="18">
        <v>980</v>
      </c>
      <c r="AK21" s="15">
        <v>46049</v>
      </c>
      <c r="AN21" s="11" t="s">
        <v>58</v>
      </c>
      <c r="AO21" s="11" t="s">
        <v>41</v>
      </c>
      <c r="AP21" s="11" t="s">
        <v>59</v>
      </c>
      <c r="AQ21" s="10">
        <v>10</v>
      </c>
      <c r="AR21" s="18">
        <v>980</v>
      </c>
      <c r="AS21" s="11" t="s">
        <v>9</v>
      </c>
    </row>
    <row r="22" spans="1:45" ht="16.8" customHeight="1" x14ac:dyDescent="0.25">
      <c r="A22" s="7" t="s">
        <v>60</v>
      </c>
      <c r="B22" s="7" t="s">
        <v>61</v>
      </c>
      <c r="C22" s="7" t="s">
        <v>62</v>
      </c>
      <c r="D22" s="7">
        <v>15</v>
      </c>
      <c r="E22" s="7">
        <v>150</v>
      </c>
      <c r="F22" s="7">
        <f>ROUND(IFERROR(IF(ISBLANK(PRODUCT_DB[[#This Row],[Price ($)]]),AVERAGEIF(PRODUCT_DB[Product Name],PRODUCT_DB[[#This Row],[Product Name]],PRODUCT_DB[Price ($)]),PRODUCT_DB[[#This Row],[Price ($)]]),AVERAGE(PRODUCT_DB[Price ($)])),0)</f>
        <v>150</v>
      </c>
      <c r="G22" s="7" t="s">
        <v>13</v>
      </c>
      <c r="H22" s="8" t="str">
        <f t="shared" si="0"/>
        <v>Fashion</v>
      </c>
      <c r="J22" s="11" t="s">
        <v>60</v>
      </c>
      <c r="K22" s="11" t="s">
        <v>61</v>
      </c>
      <c r="L22" s="11" t="s">
        <v>62</v>
      </c>
      <c r="M22" s="10">
        <v>15</v>
      </c>
      <c r="N22" s="10">
        <v>150</v>
      </c>
      <c r="O22" s="10" t="s">
        <v>13</v>
      </c>
      <c r="R22" s="11" t="s">
        <v>60</v>
      </c>
      <c r="S22" s="11" t="s">
        <v>61</v>
      </c>
      <c r="T22" s="11" t="s">
        <v>62</v>
      </c>
      <c r="U22" s="10">
        <v>15</v>
      </c>
      <c r="V22" s="10">
        <v>150</v>
      </c>
      <c r="W22" s="11" t="s">
        <v>13</v>
      </c>
      <c r="Z22" s="11" t="s">
        <v>60</v>
      </c>
      <c r="AA22" s="17">
        <v>46082</v>
      </c>
      <c r="AB22" s="12" t="s">
        <v>122</v>
      </c>
      <c r="AE22" s="11" t="s">
        <v>61</v>
      </c>
      <c r="AF22" s="11" t="s">
        <v>62</v>
      </c>
      <c r="AG22" s="11" t="str">
        <f>DB__217[[#This Row],[Product Name]]&amp;" "&amp;DB__217[[#This Row],[Brand Name]]</f>
        <v>Sunglasses Oakley</v>
      </c>
      <c r="AJ22" s="18">
        <v>150</v>
      </c>
      <c r="AK22" s="15">
        <v>46082</v>
      </c>
      <c r="AN22" s="11" t="s">
        <v>60</v>
      </c>
      <c r="AO22" s="11" t="s">
        <v>61</v>
      </c>
      <c r="AP22" s="11" t="s">
        <v>62</v>
      </c>
      <c r="AQ22" s="10">
        <v>15</v>
      </c>
      <c r="AR22" s="18">
        <v>150</v>
      </c>
      <c r="AS22" s="11" t="s">
        <v>13</v>
      </c>
    </row>
    <row r="23" spans="1:45" ht="16.8" customHeight="1" x14ac:dyDescent="0.25">
      <c r="A23" s="8" t="s">
        <v>63</v>
      </c>
      <c r="B23" s="8" t="s">
        <v>64</v>
      </c>
      <c r="C23" s="8" t="s">
        <v>65</v>
      </c>
      <c r="D23" s="8">
        <v>10</v>
      </c>
      <c r="E23" s="9"/>
      <c r="F23" s="9">
        <f>ROUND(IFERROR(IF(ISBLANK(PRODUCT_DB[[#This Row],[Price ($)]]),AVERAGEIF(PRODUCT_DB[Product Name],PRODUCT_DB[[#This Row],[Product Name]],PRODUCT_DB[Price ($)]),PRODUCT_DB[[#This Row],[Price ($)]]),AVERAGE(PRODUCT_DB[Price ($)])),0)</f>
        <v>309</v>
      </c>
      <c r="G23" s="8" t="s">
        <v>39</v>
      </c>
      <c r="H23" s="8" t="str">
        <f t="shared" si="0"/>
        <v>Outdoor</v>
      </c>
      <c r="J23" s="11" t="s">
        <v>63</v>
      </c>
      <c r="K23" s="11" t="s">
        <v>64</v>
      </c>
      <c r="L23" s="11" t="s">
        <v>65</v>
      </c>
      <c r="M23" s="10">
        <v>10</v>
      </c>
      <c r="N23" s="10">
        <v>309</v>
      </c>
      <c r="O23" s="10" t="s">
        <v>39</v>
      </c>
      <c r="R23" s="11" t="s">
        <v>63</v>
      </c>
      <c r="S23" s="11" t="s">
        <v>64</v>
      </c>
      <c r="T23" s="11" t="s">
        <v>65</v>
      </c>
      <c r="U23" s="10">
        <v>10</v>
      </c>
      <c r="V23" s="10">
        <v>309</v>
      </c>
      <c r="W23" s="12" t="s">
        <v>39</v>
      </c>
      <c r="Z23" s="11" t="s">
        <v>63</v>
      </c>
      <c r="AA23" s="17">
        <v>46248</v>
      </c>
      <c r="AB23" s="12" t="s">
        <v>121</v>
      </c>
      <c r="AE23" s="11" t="s">
        <v>64</v>
      </c>
      <c r="AF23" s="11" t="s">
        <v>65</v>
      </c>
      <c r="AG23" s="11" t="str">
        <f>DB__217[[#This Row],[Product Name]]&amp;" "&amp;DB__217[[#This Row],[Brand Name]]</f>
        <v>Camping Tent Coleman</v>
      </c>
      <c r="AJ23" s="18">
        <v>309</v>
      </c>
      <c r="AK23" s="15">
        <v>46248</v>
      </c>
      <c r="AN23" s="11" t="s">
        <v>63</v>
      </c>
      <c r="AO23" s="11" t="s">
        <v>64</v>
      </c>
      <c r="AP23" s="11" t="s">
        <v>65</v>
      </c>
      <c r="AQ23" s="10">
        <v>10</v>
      </c>
      <c r="AR23" s="18">
        <v>309</v>
      </c>
      <c r="AS23" s="12" t="s">
        <v>39</v>
      </c>
    </row>
    <row r="24" spans="1:45" ht="16.8" customHeight="1" x14ac:dyDescent="0.25">
      <c r="A24" s="7" t="s">
        <v>66</v>
      </c>
      <c r="B24" s="7" t="s">
        <v>67</v>
      </c>
      <c r="C24" s="7" t="s">
        <v>68</v>
      </c>
      <c r="D24" s="7">
        <v>50</v>
      </c>
      <c r="E24" s="7">
        <v>700</v>
      </c>
      <c r="F24" s="7">
        <f>ROUND(IFERROR(IF(ISBLANK(PRODUCT_DB[[#This Row],[Price ($)]]),AVERAGEIF(PRODUCT_DB[Product Name],PRODUCT_DB[[#This Row],[Product Name]],PRODUCT_DB[Price ($)]),PRODUCT_DB[[#This Row],[Price ($)]]),AVERAGE(PRODUCT_DB[Price ($)])),0)</f>
        <v>700</v>
      </c>
      <c r="G24" s="7" t="s">
        <v>9</v>
      </c>
      <c r="H24" s="8" t="str">
        <f t="shared" si="0"/>
        <v>Electronics</v>
      </c>
      <c r="J24" s="11" t="s">
        <v>66</v>
      </c>
      <c r="K24" s="11" t="s">
        <v>67</v>
      </c>
      <c r="L24" s="11" t="s">
        <v>68</v>
      </c>
      <c r="M24" s="10">
        <v>50</v>
      </c>
      <c r="N24" s="10">
        <v>700</v>
      </c>
      <c r="O24" s="10" t="s">
        <v>9</v>
      </c>
      <c r="R24" s="11" t="s">
        <v>66</v>
      </c>
      <c r="S24" s="11" t="s">
        <v>67</v>
      </c>
      <c r="T24" s="11" t="s">
        <v>68</v>
      </c>
      <c r="U24" s="10">
        <v>50</v>
      </c>
      <c r="V24" s="10">
        <v>700</v>
      </c>
      <c r="W24" s="11" t="s">
        <v>9</v>
      </c>
      <c r="Z24" s="11" t="s">
        <v>66</v>
      </c>
      <c r="AA24" s="17">
        <v>46156</v>
      </c>
      <c r="AB24" s="12" t="s">
        <v>130</v>
      </c>
      <c r="AE24" s="11" t="s">
        <v>67</v>
      </c>
      <c r="AF24" s="11" t="s">
        <v>68</v>
      </c>
      <c r="AG24" s="11" t="str">
        <f>DB__217[[#This Row],[Product Name]]&amp;" "&amp;DB__217[[#This Row],[Brand Name]]</f>
        <v>Camera Nikon</v>
      </c>
      <c r="AJ24" s="18">
        <v>700</v>
      </c>
      <c r="AK24" s="15">
        <v>46156</v>
      </c>
      <c r="AN24" s="11" t="s">
        <v>66</v>
      </c>
      <c r="AO24" s="11" t="s">
        <v>67</v>
      </c>
      <c r="AP24" s="11" t="s">
        <v>68</v>
      </c>
      <c r="AQ24" s="10">
        <v>50</v>
      </c>
      <c r="AR24" s="18">
        <v>700</v>
      </c>
      <c r="AS24" s="11" t="s">
        <v>9</v>
      </c>
    </row>
    <row r="25" spans="1:45" ht="16.8" customHeight="1" x14ac:dyDescent="0.25">
      <c r="A25" s="8" t="s">
        <v>69</v>
      </c>
      <c r="B25" s="8" t="s">
        <v>70</v>
      </c>
      <c r="C25" s="8" t="s">
        <v>71</v>
      </c>
      <c r="D25" s="8">
        <v>20</v>
      </c>
      <c r="E25" s="8">
        <v>80</v>
      </c>
      <c r="F25" s="8">
        <f>ROUND(IFERROR(IF(ISBLANK(PRODUCT_DB[[#This Row],[Price ($)]]),AVERAGEIF(PRODUCT_DB[Product Name],PRODUCT_DB[[#This Row],[Product Name]],PRODUCT_DB[Price ($)]),PRODUCT_DB[[#This Row],[Price ($)]]),AVERAGE(PRODUCT_DB[Price ($)])),0)</f>
        <v>80</v>
      </c>
      <c r="G25" s="8" t="s">
        <v>17</v>
      </c>
      <c r="H25" s="8" t="str">
        <f t="shared" si="0"/>
        <v>Kitchen</v>
      </c>
      <c r="J25" s="11" t="s">
        <v>69</v>
      </c>
      <c r="K25" s="11" t="s">
        <v>70</v>
      </c>
      <c r="L25" s="11" t="s">
        <v>71</v>
      </c>
      <c r="M25" s="10">
        <v>20</v>
      </c>
      <c r="N25" s="10">
        <v>80</v>
      </c>
      <c r="O25" s="10" t="s">
        <v>17</v>
      </c>
      <c r="R25" s="11" t="s">
        <v>69</v>
      </c>
      <c r="S25" s="11" t="s">
        <v>70</v>
      </c>
      <c r="T25" s="11" t="s">
        <v>71</v>
      </c>
      <c r="U25" s="10">
        <v>20</v>
      </c>
      <c r="V25" s="10">
        <v>80</v>
      </c>
      <c r="W25" s="11" t="s">
        <v>17</v>
      </c>
      <c r="Z25" s="11" t="s">
        <v>69</v>
      </c>
      <c r="AA25" s="17">
        <v>46031</v>
      </c>
      <c r="AB25" s="12" t="s">
        <v>126</v>
      </c>
      <c r="AE25" s="11" t="s">
        <v>70</v>
      </c>
      <c r="AF25" s="11" t="s">
        <v>71</v>
      </c>
      <c r="AG25" s="11" t="str">
        <f>DB__217[[#This Row],[Product Name]]&amp;" "&amp;DB__217[[#This Row],[Brand Name]]</f>
        <v>Microwave Panasonic</v>
      </c>
      <c r="AJ25" s="18">
        <v>80</v>
      </c>
      <c r="AK25" s="15">
        <v>46031</v>
      </c>
      <c r="AN25" s="11" t="s">
        <v>69</v>
      </c>
      <c r="AO25" s="11" t="s">
        <v>70</v>
      </c>
      <c r="AP25" s="11" t="s">
        <v>71</v>
      </c>
      <c r="AQ25" s="10">
        <v>20</v>
      </c>
      <c r="AR25" s="18">
        <v>80</v>
      </c>
      <c r="AS25" s="11" t="s">
        <v>17</v>
      </c>
    </row>
    <row r="26" spans="1:45" ht="16.8" customHeight="1" x14ac:dyDescent="0.25">
      <c r="A26" s="7" t="s">
        <v>72</v>
      </c>
      <c r="B26" s="7" t="s">
        <v>73</v>
      </c>
      <c r="C26" s="7" t="s">
        <v>74</v>
      </c>
      <c r="D26" s="7">
        <v>30</v>
      </c>
      <c r="E26" s="7">
        <v>150</v>
      </c>
      <c r="F26" s="7">
        <f>ROUND(IFERROR(IF(ISBLANK(PRODUCT_DB[[#This Row],[Price ($)]]),AVERAGEIF(PRODUCT_DB[Product Name],PRODUCT_DB[[#This Row],[Product Name]],PRODUCT_DB[Price ($)]),PRODUCT_DB[[#This Row],[Price ($)]]),AVERAGE(PRODUCT_DB[Price ($)])),0)</f>
        <v>150</v>
      </c>
      <c r="G26" s="9"/>
      <c r="H26" s="9" t="str">
        <f>IFERROR(IF(INDEX($G$4:$G$37,MATCH(B26,$B$4:$B$37,0))="","Unknown",INDEX($G$4:$G$37,MATCH(B26,$B$4:$B$37,0))),"Unknown")</f>
        <v>Unknown</v>
      </c>
      <c r="J26" s="11" t="s">
        <v>72</v>
      </c>
      <c r="K26" s="11" t="s">
        <v>73</v>
      </c>
      <c r="L26" s="11" t="s">
        <v>74</v>
      </c>
      <c r="M26" s="10">
        <v>30</v>
      </c>
      <c r="N26" s="10">
        <v>150</v>
      </c>
      <c r="O26" s="10" t="s">
        <v>116</v>
      </c>
      <c r="R26" s="11" t="s">
        <v>72</v>
      </c>
      <c r="S26" s="11" t="s">
        <v>73</v>
      </c>
      <c r="T26" s="11" t="s">
        <v>74</v>
      </c>
      <c r="U26" s="10">
        <v>30</v>
      </c>
      <c r="V26" s="10">
        <v>150</v>
      </c>
      <c r="W26" s="11" t="s">
        <v>116</v>
      </c>
      <c r="Z26" s="11" t="s">
        <v>72</v>
      </c>
      <c r="AA26" s="17">
        <v>46222</v>
      </c>
      <c r="AB26" s="12" t="s">
        <v>131</v>
      </c>
      <c r="AE26" s="11" t="s">
        <v>73</v>
      </c>
      <c r="AF26" s="11" t="s">
        <v>74</v>
      </c>
      <c r="AG26" s="11" t="str">
        <f>DB__217[[#This Row],[Product Name]]&amp;" "&amp;DB__217[[#This Row],[Brand Name]]</f>
        <v>Fitness Tracker Xiaomi</v>
      </c>
      <c r="AJ26" s="18">
        <v>150</v>
      </c>
      <c r="AK26" s="15">
        <v>46222</v>
      </c>
      <c r="AN26" s="11" t="s">
        <v>72</v>
      </c>
      <c r="AO26" s="11" t="s">
        <v>73</v>
      </c>
      <c r="AP26" s="11" t="s">
        <v>74</v>
      </c>
      <c r="AQ26" s="10">
        <v>30</v>
      </c>
      <c r="AR26" s="18">
        <v>150</v>
      </c>
      <c r="AS26" s="11" t="s">
        <v>116</v>
      </c>
    </row>
    <row r="27" spans="1:45" ht="16.8" customHeight="1" x14ac:dyDescent="0.25">
      <c r="A27" s="8" t="s">
        <v>52</v>
      </c>
      <c r="B27" s="8" t="s">
        <v>53</v>
      </c>
      <c r="C27" s="8" t="s">
        <v>54</v>
      </c>
      <c r="D27" s="8">
        <v>35</v>
      </c>
      <c r="E27" s="8">
        <v>50</v>
      </c>
      <c r="F27" s="8">
        <f>ROUND(IFERROR(IF(ISBLANK(PRODUCT_DB[[#This Row],[Price ($)]]),AVERAGEIF(PRODUCT_DB[Product Name],PRODUCT_DB[[#This Row],[Product Name]],PRODUCT_DB[Price ($)]),PRODUCT_DB[[#This Row],[Price ($)]]),AVERAGE(PRODUCT_DB[Price ($)])),0)</f>
        <v>50</v>
      </c>
      <c r="G27" s="8" t="s">
        <v>55</v>
      </c>
      <c r="H27" s="8" t="str">
        <f t="shared" si="0"/>
        <v>Accessories</v>
      </c>
      <c r="J27" s="11" t="s">
        <v>52</v>
      </c>
      <c r="K27" s="11" t="s">
        <v>53</v>
      </c>
      <c r="L27" s="11" t="s">
        <v>54</v>
      </c>
      <c r="M27" s="10">
        <v>35</v>
      </c>
      <c r="N27" s="10">
        <v>50</v>
      </c>
      <c r="O27" s="10" t="s">
        <v>55</v>
      </c>
      <c r="R27" s="11" t="s">
        <v>75</v>
      </c>
      <c r="S27" s="11" t="s">
        <v>76</v>
      </c>
      <c r="T27" s="11" t="s">
        <v>77</v>
      </c>
      <c r="U27" s="10">
        <v>45</v>
      </c>
      <c r="V27" s="10">
        <v>800</v>
      </c>
      <c r="W27" s="11" t="s">
        <v>9</v>
      </c>
      <c r="Z27" s="11" t="s">
        <v>75</v>
      </c>
      <c r="AA27" s="17">
        <v>46294</v>
      </c>
      <c r="AB27" s="12" t="s">
        <v>126</v>
      </c>
      <c r="AE27" s="11" t="s">
        <v>76</v>
      </c>
      <c r="AF27" s="11" t="s">
        <v>77</v>
      </c>
      <c r="AG27" s="11" t="str">
        <f>DB__217[[#This Row],[Product Name]]&amp;" "&amp;DB__217[[#This Row],[Brand Name]]</f>
        <v>Smartphone Google</v>
      </c>
      <c r="AJ27" s="18">
        <v>800</v>
      </c>
      <c r="AK27" s="15">
        <v>46294</v>
      </c>
      <c r="AN27" s="11" t="s">
        <v>75</v>
      </c>
      <c r="AO27" s="11" t="s">
        <v>76</v>
      </c>
      <c r="AP27" s="11" t="s">
        <v>77</v>
      </c>
      <c r="AQ27" s="10">
        <v>45</v>
      </c>
      <c r="AR27" s="18">
        <v>800</v>
      </c>
      <c r="AS27" s="11" t="s">
        <v>9</v>
      </c>
    </row>
    <row r="28" spans="1:45" ht="16.8" customHeight="1" x14ac:dyDescent="0.25">
      <c r="A28" s="7" t="s">
        <v>75</v>
      </c>
      <c r="B28" s="7" t="s">
        <v>76</v>
      </c>
      <c r="C28" s="7" t="s">
        <v>77</v>
      </c>
      <c r="D28" s="7">
        <v>45</v>
      </c>
      <c r="E28" s="7">
        <v>800</v>
      </c>
      <c r="F28" s="7">
        <f>ROUND(IFERROR(IF(ISBLANK(PRODUCT_DB[[#This Row],[Price ($)]]),AVERAGEIF(PRODUCT_DB[Product Name],PRODUCT_DB[[#This Row],[Product Name]],PRODUCT_DB[Price ($)]),PRODUCT_DB[[#This Row],[Price ($)]]),AVERAGE(PRODUCT_DB[Price ($)])),0)</f>
        <v>800</v>
      </c>
      <c r="G28" s="7" t="s">
        <v>9</v>
      </c>
      <c r="H28" s="8" t="str">
        <f t="shared" si="0"/>
        <v>Electronics</v>
      </c>
      <c r="J28" s="11" t="s">
        <v>75</v>
      </c>
      <c r="K28" s="11" t="s">
        <v>76</v>
      </c>
      <c r="L28" s="11" t="s">
        <v>77</v>
      </c>
      <c r="M28" s="10">
        <v>45</v>
      </c>
      <c r="N28" s="10">
        <v>800</v>
      </c>
      <c r="O28" s="10" t="s">
        <v>9</v>
      </c>
      <c r="R28" s="11" t="s">
        <v>78</v>
      </c>
      <c r="S28" s="11" t="s">
        <v>61</v>
      </c>
      <c r="T28" s="11" t="s">
        <v>79</v>
      </c>
      <c r="U28" s="10">
        <v>25</v>
      </c>
      <c r="V28" s="10">
        <v>150</v>
      </c>
      <c r="W28" s="11" t="s">
        <v>13</v>
      </c>
      <c r="Z28" s="11" t="s">
        <v>78</v>
      </c>
      <c r="AA28" s="17">
        <v>46176</v>
      </c>
      <c r="AB28" s="12" t="s">
        <v>126</v>
      </c>
      <c r="AE28" s="11" t="s">
        <v>61</v>
      </c>
      <c r="AF28" s="11" t="s">
        <v>79</v>
      </c>
      <c r="AG28" s="11" t="str">
        <f>DB__217[[#This Row],[Product Name]]&amp;" "&amp;DB__217[[#This Row],[Brand Name]]</f>
        <v>Sunglasses Ray-Ban</v>
      </c>
      <c r="AJ28" s="18">
        <v>150</v>
      </c>
      <c r="AK28" s="15">
        <v>46176</v>
      </c>
      <c r="AN28" s="11" t="s">
        <v>78</v>
      </c>
      <c r="AO28" s="11" t="s">
        <v>61</v>
      </c>
      <c r="AP28" s="11" t="s">
        <v>79</v>
      </c>
      <c r="AQ28" s="10">
        <v>25</v>
      </c>
      <c r="AR28" s="18">
        <v>150</v>
      </c>
      <c r="AS28" s="11" t="s">
        <v>13</v>
      </c>
    </row>
    <row r="29" spans="1:45" ht="16.8" customHeight="1" x14ac:dyDescent="0.25">
      <c r="A29" s="8" t="s">
        <v>78</v>
      </c>
      <c r="B29" s="8" t="s">
        <v>61</v>
      </c>
      <c r="C29" s="8" t="s">
        <v>79</v>
      </c>
      <c r="D29" s="8">
        <v>25</v>
      </c>
      <c r="E29" s="9"/>
      <c r="F29" s="9">
        <f>ROUND(IFERROR(IF(ISBLANK(PRODUCT_DB[[#This Row],[Price ($)]]),AVERAGEIF(PRODUCT_DB[Product Name],PRODUCT_DB[[#This Row],[Product Name]],PRODUCT_DB[Price ($)]),PRODUCT_DB[[#This Row],[Price ($)]]),AVERAGE(PRODUCT_DB[Price ($)])),0)</f>
        <v>150</v>
      </c>
      <c r="G29" s="8" t="s">
        <v>13</v>
      </c>
      <c r="H29" s="8" t="str">
        <f t="shared" si="0"/>
        <v>Fashion</v>
      </c>
      <c r="J29" s="11" t="s">
        <v>78</v>
      </c>
      <c r="K29" s="11" t="s">
        <v>61</v>
      </c>
      <c r="L29" s="11" t="s">
        <v>79</v>
      </c>
      <c r="M29" s="10">
        <v>25</v>
      </c>
      <c r="N29" s="10">
        <v>150</v>
      </c>
      <c r="O29" s="10" t="s">
        <v>13</v>
      </c>
      <c r="R29" s="11" t="s">
        <v>80</v>
      </c>
      <c r="S29" s="11" t="s">
        <v>31</v>
      </c>
      <c r="T29" s="11" t="s">
        <v>81</v>
      </c>
      <c r="U29" s="10">
        <v>40</v>
      </c>
      <c r="V29" s="10">
        <v>400</v>
      </c>
      <c r="W29" s="11" t="s">
        <v>17</v>
      </c>
      <c r="Z29" s="11" t="s">
        <v>80</v>
      </c>
      <c r="AA29" s="17">
        <v>46214</v>
      </c>
      <c r="AB29" s="12" t="s">
        <v>126</v>
      </c>
      <c r="AE29" s="11" t="s">
        <v>31</v>
      </c>
      <c r="AF29" s="11" t="s">
        <v>81</v>
      </c>
      <c r="AG29" s="11" t="str">
        <f>DB__217[[#This Row],[Product Name]]&amp;" "&amp;DB__217[[#This Row],[Brand Name]]</f>
        <v>Blender Vitamix</v>
      </c>
      <c r="AJ29" s="18">
        <v>400</v>
      </c>
      <c r="AK29" s="15">
        <v>46214</v>
      </c>
      <c r="AN29" s="11" t="s">
        <v>80</v>
      </c>
      <c r="AO29" s="11" t="s">
        <v>31</v>
      </c>
      <c r="AP29" s="11" t="s">
        <v>81</v>
      </c>
      <c r="AQ29" s="10">
        <v>40</v>
      </c>
      <c r="AR29" s="18">
        <v>400</v>
      </c>
      <c r="AS29" s="11" t="s">
        <v>17</v>
      </c>
    </row>
    <row r="30" spans="1:45" ht="16.8" customHeight="1" x14ac:dyDescent="0.25">
      <c r="A30" s="7" t="s">
        <v>80</v>
      </c>
      <c r="B30" s="7" t="s">
        <v>31</v>
      </c>
      <c r="C30" s="7" t="s">
        <v>81</v>
      </c>
      <c r="D30" s="7">
        <v>40</v>
      </c>
      <c r="E30" s="7">
        <v>400</v>
      </c>
      <c r="F30" s="7">
        <f>ROUND(IFERROR(IF(ISBLANK(PRODUCT_DB[[#This Row],[Price ($)]]),AVERAGEIF(PRODUCT_DB[Product Name],PRODUCT_DB[[#This Row],[Product Name]],PRODUCT_DB[Price ($)]),PRODUCT_DB[[#This Row],[Price ($)]]),AVERAGE(PRODUCT_DB[Price ($)])),0)</f>
        <v>400</v>
      </c>
      <c r="G30" s="7" t="s">
        <v>17</v>
      </c>
      <c r="H30" s="8" t="str">
        <f t="shared" si="0"/>
        <v>Kitchen</v>
      </c>
      <c r="J30" s="11" t="s">
        <v>80</v>
      </c>
      <c r="K30" s="11" t="s">
        <v>31</v>
      </c>
      <c r="L30" s="11" t="s">
        <v>81</v>
      </c>
      <c r="M30" s="10">
        <v>40</v>
      </c>
      <c r="N30" s="10">
        <v>400</v>
      </c>
      <c r="O30" s="10" t="s">
        <v>17</v>
      </c>
      <c r="R30" s="11" t="s">
        <v>82</v>
      </c>
      <c r="S30" s="11" t="s">
        <v>83</v>
      </c>
      <c r="T30" s="11" t="s">
        <v>84</v>
      </c>
      <c r="U30" s="10">
        <v>30</v>
      </c>
      <c r="V30" s="10">
        <v>60</v>
      </c>
      <c r="W30" s="11" t="s">
        <v>13</v>
      </c>
      <c r="Z30" s="11" t="s">
        <v>82</v>
      </c>
      <c r="AA30" s="17">
        <v>46088</v>
      </c>
      <c r="AB30" s="12" t="s">
        <v>126</v>
      </c>
      <c r="AE30" s="11" t="s">
        <v>83</v>
      </c>
      <c r="AF30" s="11" t="s">
        <v>84</v>
      </c>
      <c r="AG30" s="11" t="str">
        <f>DB__217[[#This Row],[Product Name]]&amp;" "&amp;DB__217[[#This Row],[Brand Name]]</f>
        <v>Dress Zara</v>
      </c>
      <c r="AJ30" s="18">
        <v>60</v>
      </c>
      <c r="AK30" s="15">
        <v>46088</v>
      </c>
      <c r="AN30" s="11" t="s">
        <v>82</v>
      </c>
      <c r="AO30" s="11" t="s">
        <v>83</v>
      </c>
      <c r="AP30" s="11" t="s">
        <v>84</v>
      </c>
      <c r="AQ30" s="10">
        <v>30</v>
      </c>
      <c r="AR30" s="18">
        <v>60</v>
      </c>
      <c r="AS30" s="11" t="s">
        <v>13</v>
      </c>
    </row>
    <row r="31" spans="1:45" ht="16.8" customHeight="1" x14ac:dyDescent="0.25">
      <c r="A31" s="8" t="s">
        <v>49</v>
      </c>
      <c r="B31" s="8" t="s">
        <v>50</v>
      </c>
      <c r="C31" s="8" t="s">
        <v>51</v>
      </c>
      <c r="D31" s="8">
        <v>20</v>
      </c>
      <c r="E31" s="8">
        <v>250</v>
      </c>
      <c r="F31" s="8">
        <f>ROUND(IFERROR(IF(ISBLANK(PRODUCT_DB[[#This Row],[Price ($)]]),AVERAGEIF(PRODUCT_DB[Product Name],PRODUCT_DB[[#This Row],[Product Name]],PRODUCT_DB[Price ($)]),PRODUCT_DB[[#This Row],[Price ($)]]),AVERAGE(PRODUCT_DB[Price ($)])),0)</f>
        <v>250</v>
      </c>
      <c r="G31" s="8" t="s">
        <v>9</v>
      </c>
      <c r="H31" s="8" t="str">
        <f t="shared" si="0"/>
        <v>Electronics</v>
      </c>
      <c r="J31" s="11" t="s">
        <v>49</v>
      </c>
      <c r="K31" s="11" t="s">
        <v>50</v>
      </c>
      <c r="L31" s="11" t="s">
        <v>51</v>
      </c>
      <c r="M31" s="10">
        <v>20</v>
      </c>
      <c r="N31" s="10">
        <v>250</v>
      </c>
      <c r="O31" s="10" t="s">
        <v>9</v>
      </c>
      <c r="R31" s="11" t="s">
        <v>85</v>
      </c>
      <c r="S31" s="11" t="s">
        <v>86</v>
      </c>
      <c r="T31" s="11" t="s">
        <v>87</v>
      </c>
      <c r="U31" s="10">
        <v>10</v>
      </c>
      <c r="V31" s="10">
        <v>40</v>
      </c>
      <c r="W31" s="11" t="s">
        <v>17</v>
      </c>
      <c r="Z31" s="11" t="s">
        <v>85</v>
      </c>
      <c r="AA31" s="17">
        <v>46125</v>
      </c>
      <c r="AB31" s="12" t="s">
        <v>126</v>
      </c>
      <c r="AE31" s="11" t="s">
        <v>86</v>
      </c>
      <c r="AF31" s="11" t="s">
        <v>87</v>
      </c>
      <c r="AG31" s="11" t="str">
        <f>DB__217[[#This Row],[Product Name]]&amp;" "&amp;DB__217[[#This Row],[Brand Name]]</f>
        <v>Toaster Hamilton</v>
      </c>
      <c r="AJ31" s="18">
        <v>40</v>
      </c>
      <c r="AK31" s="15">
        <v>46125</v>
      </c>
      <c r="AN31" s="11" t="s">
        <v>85</v>
      </c>
      <c r="AO31" s="11" t="s">
        <v>86</v>
      </c>
      <c r="AP31" s="11" t="s">
        <v>87</v>
      </c>
      <c r="AQ31" s="10">
        <v>10</v>
      </c>
      <c r="AR31" s="18">
        <v>40</v>
      </c>
      <c r="AS31" s="11" t="s">
        <v>17</v>
      </c>
    </row>
    <row r="32" spans="1:45" ht="16.8" customHeight="1" x14ac:dyDescent="0.25">
      <c r="A32" s="7" t="s">
        <v>82</v>
      </c>
      <c r="B32" s="7" t="s">
        <v>83</v>
      </c>
      <c r="C32" s="7" t="s">
        <v>84</v>
      </c>
      <c r="D32" s="7">
        <v>30</v>
      </c>
      <c r="E32" s="7">
        <v>60</v>
      </c>
      <c r="F32" s="7">
        <f>ROUND(IFERROR(IF(ISBLANK(PRODUCT_DB[[#This Row],[Price ($)]]),AVERAGEIF(PRODUCT_DB[Product Name],PRODUCT_DB[[#This Row],[Product Name]],PRODUCT_DB[Price ($)]),PRODUCT_DB[[#This Row],[Price ($)]]),AVERAGE(PRODUCT_DB[Price ($)])),0)</f>
        <v>60</v>
      </c>
      <c r="G32" s="7" t="s">
        <v>13</v>
      </c>
      <c r="H32" s="8" t="str">
        <f t="shared" si="0"/>
        <v>Fashion</v>
      </c>
      <c r="J32" s="11" t="s">
        <v>82</v>
      </c>
      <c r="K32" s="11" t="s">
        <v>83</v>
      </c>
      <c r="L32" s="11" t="s">
        <v>84</v>
      </c>
      <c r="M32" s="10">
        <v>30</v>
      </c>
      <c r="N32" s="10">
        <v>60</v>
      </c>
      <c r="O32" s="10" t="s">
        <v>13</v>
      </c>
      <c r="R32" s="11" t="s">
        <v>88</v>
      </c>
      <c r="S32" s="11" t="s">
        <v>73</v>
      </c>
      <c r="T32" s="11" t="s">
        <v>89</v>
      </c>
      <c r="U32" s="10">
        <v>5</v>
      </c>
      <c r="V32" s="10">
        <v>130</v>
      </c>
      <c r="W32" s="11" t="s">
        <v>9</v>
      </c>
      <c r="Z32" s="11" t="s">
        <v>88</v>
      </c>
      <c r="AA32" s="17">
        <v>46166</v>
      </c>
      <c r="AB32" s="12" t="s">
        <v>126</v>
      </c>
      <c r="AE32" s="11" t="s">
        <v>73</v>
      </c>
      <c r="AF32" s="11" t="s">
        <v>89</v>
      </c>
      <c r="AG32" s="11" t="str">
        <f>DB__217[[#This Row],[Product Name]]&amp;" "&amp;DB__217[[#This Row],[Brand Name]]</f>
        <v>Fitness Tracker Garmin</v>
      </c>
      <c r="AJ32" s="18">
        <v>130</v>
      </c>
      <c r="AK32" s="15">
        <v>46166</v>
      </c>
      <c r="AN32" s="11" t="s">
        <v>88</v>
      </c>
      <c r="AO32" s="11" t="s">
        <v>73</v>
      </c>
      <c r="AP32" s="11" t="s">
        <v>89</v>
      </c>
      <c r="AQ32" s="10">
        <v>5</v>
      </c>
      <c r="AR32" s="18">
        <v>130</v>
      </c>
      <c r="AS32" s="11" t="s">
        <v>9</v>
      </c>
    </row>
    <row r="33" spans="1:45" ht="16.8" customHeight="1" x14ac:dyDescent="0.25">
      <c r="A33" s="8" t="s">
        <v>85</v>
      </c>
      <c r="B33" s="8" t="s">
        <v>86</v>
      </c>
      <c r="C33" s="8" t="s">
        <v>87</v>
      </c>
      <c r="D33" s="8">
        <v>10</v>
      </c>
      <c r="E33" s="8">
        <v>40</v>
      </c>
      <c r="F33" s="8">
        <f>ROUND(IFERROR(IF(ISBLANK(PRODUCT_DB[[#This Row],[Price ($)]]),AVERAGEIF(PRODUCT_DB[Product Name],PRODUCT_DB[[#This Row],[Product Name]],PRODUCT_DB[Price ($)]),PRODUCT_DB[[#This Row],[Price ($)]]),AVERAGE(PRODUCT_DB[Price ($)])),0)</f>
        <v>40</v>
      </c>
      <c r="G33" s="8" t="s">
        <v>17</v>
      </c>
      <c r="H33" s="8" t="str">
        <f t="shared" si="0"/>
        <v>Kitchen</v>
      </c>
      <c r="J33" s="11" t="s">
        <v>85</v>
      </c>
      <c r="K33" s="11" t="s">
        <v>86</v>
      </c>
      <c r="L33" s="11" t="s">
        <v>87</v>
      </c>
      <c r="M33" s="10">
        <v>10</v>
      </c>
      <c r="N33" s="10">
        <v>40</v>
      </c>
      <c r="O33" s="10" t="s">
        <v>17</v>
      </c>
      <c r="R33" s="11" t="s">
        <v>90</v>
      </c>
      <c r="S33" s="11" t="s">
        <v>91</v>
      </c>
      <c r="T33" s="11" t="s">
        <v>92</v>
      </c>
      <c r="U33" s="10">
        <v>50</v>
      </c>
      <c r="V33" s="10">
        <v>50</v>
      </c>
      <c r="W33" s="11" t="s">
        <v>13</v>
      </c>
      <c r="Z33" s="11" t="s">
        <v>90</v>
      </c>
      <c r="AA33" s="17">
        <v>46358</v>
      </c>
      <c r="AB33" s="12" t="s">
        <v>126</v>
      </c>
      <c r="AE33" s="11" t="s">
        <v>91</v>
      </c>
      <c r="AF33" s="11" t="s">
        <v>92</v>
      </c>
      <c r="AG33" s="11" t="str">
        <f>DB__217[[#This Row],[Product Name]]&amp;" "&amp;DB__217[[#This Row],[Brand Name]]</f>
        <v>Jeans Levi's</v>
      </c>
      <c r="AJ33" s="18">
        <v>50</v>
      </c>
      <c r="AK33" s="15">
        <v>46358</v>
      </c>
      <c r="AN33" s="11" t="s">
        <v>90</v>
      </c>
      <c r="AO33" s="11" t="s">
        <v>91</v>
      </c>
      <c r="AP33" s="11" t="s">
        <v>92</v>
      </c>
      <c r="AQ33" s="10">
        <v>50</v>
      </c>
      <c r="AR33" s="18">
        <v>50</v>
      </c>
      <c r="AS33" s="11" t="s">
        <v>13</v>
      </c>
    </row>
    <row r="34" spans="1:45" ht="16.8" customHeight="1" x14ac:dyDescent="0.25">
      <c r="A34" s="7" t="s">
        <v>88</v>
      </c>
      <c r="B34" s="7" t="s">
        <v>73</v>
      </c>
      <c r="C34" s="7" t="s">
        <v>89</v>
      </c>
      <c r="D34" s="7">
        <v>5</v>
      </c>
      <c r="E34" s="7">
        <v>130</v>
      </c>
      <c r="F34" s="7">
        <f>ROUND(IFERROR(IF(ISBLANK(PRODUCT_DB[[#This Row],[Price ($)]]),AVERAGEIF(PRODUCT_DB[Product Name],PRODUCT_DB[[#This Row],[Product Name]],PRODUCT_DB[Price ($)]),PRODUCT_DB[[#This Row],[Price ($)]]),AVERAGE(PRODUCT_DB[Price ($)])),0)</f>
        <v>130</v>
      </c>
      <c r="G34" s="7" t="s">
        <v>9</v>
      </c>
      <c r="H34" s="7" t="s">
        <v>9</v>
      </c>
      <c r="J34" s="11" t="s">
        <v>88</v>
      </c>
      <c r="K34" s="11" t="s">
        <v>73</v>
      </c>
      <c r="L34" s="11" t="s">
        <v>89</v>
      </c>
      <c r="M34" s="10">
        <v>5</v>
      </c>
      <c r="N34" s="10">
        <v>130</v>
      </c>
      <c r="O34" s="10" t="s">
        <v>9</v>
      </c>
      <c r="R34" s="11" t="s">
        <v>93</v>
      </c>
      <c r="S34" s="11" t="s">
        <v>94</v>
      </c>
      <c r="T34" s="11" t="s">
        <v>95</v>
      </c>
      <c r="U34" s="10">
        <v>20</v>
      </c>
      <c r="V34" s="10">
        <v>100</v>
      </c>
      <c r="W34" s="11" t="s">
        <v>55</v>
      </c>
      <c r="Z34" s="11" t="s">
        <v>93</v>
      </c>
      <c r="AA34" s="17">
        <v>46212</v>
      </c>
      <c r="AB34" s="12" t="s">
        <v>132</v>
      </c>
      <c r="AE34" s="11" t="s">
        <v>94</v>
      </c>
      <c r="AF34" s="11" t="s">
        <v>95</v>
      </c>
      <c r="AG34" s="11" t="str">
        <f>DB__217[[#This Row],[Product Name]]&amp;" "&amp;DB__217[[#This Row],[Brand Name]]</f>
        <v>Watch Casio</v>
      </c>
      <c r="AJ34" s="18">
        <v>100</v>
      </c>
      <c r="AK34" s="15">
        <v>46212</v>
      </c>
      <c r="AN34" s="11" t="s">
        <v>93</v>
      </c>
      <c r="AO34" s="11" t="s">
        <v>94</v>
      </c>
      <c r="AP34" s="11" t="s">
        <v>95</v>
      </c>
      <c r="AQ34" s="10">
        <v>20</v>
      </c>
      <c r="AR34" s="18">
        <v>100</v>
      </c>
      <c r="AS34" s="11" t="s">
        <v>55</v>
      </c>
    </row>
    <row r="35" spans="1:45" ht="16.8" customHeight="1" x14ac:dyDescent="0.25">
      <c r="A35" s="8" t="s">
        <v>90</v>
      </c>
      <c r="B35" s="8" t="s">
        <v>91</v>
      </c>
      <c r="C35" s="8" t="s">
        <v>92</v>
      </c>
      <c r="D35" s="8">
        <v>50</v>
      </c>
      <c r="E35" s="8">
        <v>50</v>
      </c>
      <c r="F35" s="8">
        <f>ROUND(IFERROR(IF(ISBLANK(PRODUCT_DB[[#This Row],[Price ($)]]),AVERAGEIF(PRODUCT_DB[Product Name],PRODUCT_DB[[#This Row],[Product Name]],PRODUCT_DB[Price ($)]),PRODUCT_DB[[#This Row],[Price ($)]]),AVERAGE(PRODUCT_DB[Price ($)])),0)</f>
        <v>50</v>
      </c>
      <c r="G35" s="8" t="s">
        <v>13</v>
      </c>
      <c r="H35" s="8" t="str">
        <f t="shared" si="0"/>
        <v>Fashion</v>
      </c>
      <c r="J35" s="11" t="s">
        <v>90</v>
      </c>
      <c r="K35" s="11" t="s">
        <v>91</v>
      </c>
      <c r="L35" s="11" t="s">
        <v>92</v>
      </c>
      <c r="M35" s="10">
        <v>50</v>
      </c>
      <c r="N35" s="10">
        <v>50</v>
      </c>
      <c r="O35" s="10" t="s">
        <v>13</v>
      </c>
    </row>
    <row r="36" spans="1:45" ht="16.8" customHeight="1" x14ac:dyDescent="0.25">
      <c r="A36" s="7" t="s">
        <v>40</v>
      </c>
      <c r="B36" s="7" t="s">
        <v>41</v>
      </c>
      <c r="C36" s="7" t="s">
        <v>42</v>
      </c>
      <c r="D36" s="7">
        <v>25</v>
      </c>
      <c r="E36" s="7">
        <v>950</v>
      </c>
      <c r="F36" s="7">
        <f>ROUND(IFERROR(IF(ISBLANK(PRODUCT_DB[[#This Row],[Price ($)]]),AVERAGEIF(PRODUCT_DB[Product Name],PRODUCT_DB[[#This Row],[Product Name]],PRODUCT_DB[Price ($)]),PRODUCT_DB[[#This Row],[Price ($)]]),AVERAGE(PRODUCT_DB[Price ($)])),0)</f>
        <v>950</v>
      </c>
      <c r="G36" s="7" t="s">
        <v>9</v>
      </c>
      <c r="H36" s="8" t="str">
        <f t="shared" si="0"/>
        <v>Electronics</v>
      </c>
      <c r="J36" s="11" t="s">
        <v>40</v>
      </c>
      <c r="K36" s="11" t="s">
        <v>41</v>
      </c>
      <c r="L36" s="11" t="s">
        <v>42</v>
      </c>
      <c r="M36" s="10">
        <v>25</v>
      </c>
      <c r="N36" s="10">
        <v>950</v>
      </c>
      <c r="O36" s="10" t="s">
        <v>9</v>
      </c>
    </row>
    <row r="37" spans="1:45" ht="16.8" customHeight="1" x14ac:dyDescent="0.25">
      <c r="A37" s="8" t="s">
        <v>93</v>
      </c>
      <c r="B37" s="8" t="s">
        <v>94</v>
      </c>
      <c r="C37" s="8" t="s">
        <v>95</v>
      </c>
      <c r="D37" s="8">
        <v>20</v>
      </c>
      <c r="E37" s="8">
        <v>100</v>
      </c>
      <c r="F37" s="8">
        <f>ROUND(IFERROR(IF(ISBLANK(PRODUCT_DB[[#This Row],[Price ($)]]),AVERAGEIF(PRODUCT_DB[Product Name],PRODUCT_DB[[#This Row],[Product Name]],PRODUCT_DB[Price ($)]),PRODUCT_DB[[#This Row],[Price ($)]]),AVERAGE(PRODUCT_DB[Price ($)])),0)</f>
        <v>100</v>
      </c>
      <c r="G37" s="8" t="s">
        <v>55</v>
      </c>
      <c r="H37" s="8" t="str">
        <f t="shared" si="0"/>
        <v>Accessories</v>
      </c>
      <c r="J37" s="11" t="s">
        <v>93</v>
      </c>
      <c r="K37" s="11" t="s">
        <v>94</v>
      </c>
      <c r="L37" s="11" t="s">
        <v>95</v>
      </c>
      <c r="M37" s="10">
        <v>20</v>
      </c>
      <c r="N37" s="10">
        <v>100</v>
      </c>
      <c r="O37" s="10" t="s">
        <v>55</v>
      </c>
    </row>
    <row r="40" spans="1:45" ht="16.8" customHeight="1" x14ac:dyDescent="0.25">
      <c r="B40" s="22"/>
    </row>
  </sheetData>
  <mergeCells count="7">
    <mergeCell ref="A2:H2"/>
    <mergeCell ref="AN2:AS2"/>
    <mergeCell ref="J2:O2"/>
    <mergeCell ref="R2:W2"/>
    <mergeCell ref="AE2:AG2"/>
    <mergeCell ref="Z2:AB2"/>
    <mergeCell ref="AJ2:AK2"/>
  </mergeCells>
  <conditionalFormatting sqref="AR1:AR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{DE4B9119-CA25-439B-BCCA-8BD56C677B1E}</x14:id>
        </ext>
      </extLst>
    </cfRule>
  </conditionalFormatting>
  <conditionalFormatting sqref="AS1:AS1048576">
    <cfRule type="cellIs" dxfId="48" priority="1" operator="equal">
      <formula>"ELECTRONICS"</formula>
    </cfRule>
  </conditionalFormatting>
  <pageMargins left="0.7" right="0.7" top="0.75" bottom="0.75" header="0.3" footer="0.3"/>
  <pageSetup orientation="portrait" r:id="rId1"/>
  <ignoredErrors>
    <ignoredError sqref="H34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4B9119-CA25-439B-BCCA-8BD56C677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AR1:AR1048576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9E3B44-4929-411F-B6AC-EE59D80DA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Tasks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2026-06-13T17:55:19Z</dcterms:modified>
</cp:coreProperties>
</file>